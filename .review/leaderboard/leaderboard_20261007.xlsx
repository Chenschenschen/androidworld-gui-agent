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roidWorld" sheetId="1" r:id="rId5"/>
    <sheet state="visible" name="MobileMiniWoB++" sheetId="2" r:id="rId6"/>
  </sheets>
  <definedNames>
    <definedName hidden="1" localSheetId="0" name="Z_9FD80F78_264C_4B18_B08B_56B1A56DA732_.wvu.FilterData">AndroidWorld!$B$2:$AD$49</definedName>
  </definedNames>
  <calcPr/>
  <customWorkbookViews>
    <customWorkbookView activeSheetId="0" maximized="1" windowHeight="0" windowWidth="0" guid="{9FD80F78-264C-4B18-B08B-56B1A56DA732}" name="Filter 1"/>
  </customWorkbookViews>
</workbook>
</file>

<file path=xl/sharedStrings.xml><?xml version="1.0" encoding="utf-8"?>
<sst xmlns="http://schemas.openxmlformats.org/spreadsheetml/2006/main" count="403" uniqueCount="164">
  <si>
    <t>Release Date</t>
  </si>
  <si>
    <t>⚠️ Community-submitted results. No independent verification is performed. Scores are self-reported and may be inaccurate. Use at your own risk.</t>
  </si>
  <si>
    <t>Result Source</t>
  </si>
  <si>
    <t>Open?</t>
  </si>
  <si>
    <t>Model Size (billion)</t>
  </si>
  <si>
    <t>Model</t>
  </si>
  <si>
    <t>Screen Representation</t>
  </si>
  <si>
    <t>Success Rate (pass@1)</t>
  </si>
  <si>
    <t>Number of trials</t>
  </si>
  <si>
    <t>Success Rate (pass@k)</t>
  </si>
  <si>
    <t>Trajectory submissions [Optional]</t>
  </si>
  <si>
    <t>Note</t>
  </si>
  <si>
    <t>Rank</t>
  </si>
  <si>
    <t>Model Type</t>
  </si>
  <si>
    <t>Model Size</t>
  </si>
  <si>
    <t>Screen
Representation</t>
  </si>
  <si>
    <t>Success Rate
(pass@1)</t>
  </si>
  <si>
    <t>AndroidWorld</t>
  </si>
  <si>
    <t>Number
of trials</t>
  </si>
  <si>
    <t>Success Rate
(pass@k)</t>
  </si>
  <si>
    <t>Trajectory
submissions</t>
  </si>
  <si>
    <t>✔</t>
  </si>
  <si>
    <t>-</t>
  </si>
  <si>
    <t>GPT-4 Turbo</t>
  </si>
  <si>
    <t>FluizAI</t>
  </si>
  <si>
    <t>Set-of-Mark</t>
  </si>
  <si>
    <t>Mirage-1</t>
  </si>
  <si>
    <t>AI agent</t>
  </si>
  <si>
    <t>✗</t>
  </si>
  <si>
    <t>gpt-4o / gpt-5.6-sol</t>
  </si>
  <si>
    <t>Screenshot + A11y tree</t>
  </si>
  <si>
    <t>https://android-world.fluiz.ai/</t>
  </si>
  <si>
    <t>GPT-4o</t>
  </si>
  <si>
    <t>Screenshot</t>
  </si>
  <si>
    <t>Code is not open-sourced yet.</t>
  </si>
  <si>
    <t>With Mirage-1-A; uses Aria-UI grounder</t>
  </si>
  <si>
    <t>ScaleTrack</t>
  </si>
  <si>
    <t>8B</t>
  </si>
  <si>
    <t>ScaleTrack-7B</t>
  </si>
  <si>
    <t>Kirk Engine</t>
  </si>
  <si>
    <t>Aria-UI</t>
  </si>
  <si>
    <t>gpt-4o / gpt-5.4</t>
  </si>
  <si>
    <t>3.9B</t>
  </si>
  <si>
    <t>GPT-4o + Aria-UI</t>
  </si>
  <si>
    <t>A11y tree</t>
  </si>
  <si>
    <r>
      <rPr>
        <color rgb="FF1155CC"/>
        <u/>
      </rPr>
      <t>https://abhishekdh.github.io/</t>
    </r>
    <r>
      <rPr/>
      <t>kirk-engine/</t>
    </r>
  </si>
  <si>
    <t>MobileRun</t>
  </si>
  <si>
    <t>GPT6 Astra</t>
  </si>
  <si>
    <t>Trajectories</t>
  </si>
  <si>
    <r>
      <rPr>
        <rFont val="Arial"/>
      </rPr>
      <t xml:space="preserve">[09/30/2026] 91.4 --&gt; Updated harness and using GPT-6 Astra
[10/6/2025]: 78.4 --&gt; 91.4; details </t>
    </r>
    <r>
      <rPr>
        <rFont val="Arial"/>
        <color rgb="FF1155CC"/>
        <u/>
      </rPr>
      <t xml:space="preserve">here
</t>
    </r>
    <r>
      <rPr>
        <rFont val="Arial"/>
      </rPr>
      <t xml:space="preserve">[09/19/2025]: Updated score from 63.0 --&gt; 78.4. For this run, we used GPT-5 for reasoning in combination with Gemini-2.5-Pro for acting, while continuing to rely on a hybrid method of the Accessibility (A11y) tree plus corresponding screenshots to provide both structural and visual context to the agent.
</t>
    </r>
  </si>
  <si>
    <r>
      <rPr>
        <color rgb="FF1155CC"/>
        <u/>
      </rPr>
      <t>AGI-0</t>
    </r>
  </si>
  <si>
    <t>AGI-0</t>
  </si>
  <si>
    <r>
      <rPr>
        <rFont val="Arial"/>
      </rPr>
      <t xml:space="preserve">[09/2026]: 97.4 --&gt; 100. Qwen3.5-27B trained with using our novel training technique on AndroidWorld tasks. Code and model will be open-sourced upon publication.
[10/14/2025] Changed from model --&gt; agent, based on description in blog post. </t>
    </r>
    <r>
      <rPr>
        <rFont val="Arial"/>
        <color rgb="FF1155CC"/>
        <u/>
      </rPr>
      <t>https://www.theagi.company/blog/android-world</t>
    </r>
  </si>
  <si>
    <t>Artemis</t>
  </si>
  <si>
    <t>Gemini 3.7 Flash, Gemini Robotics ER 2</t>
  </si>
  <si>
    <r>
      <rPr>
        <rFont val="Arial"/>
      </rPr>
      <t xml:space="preserve">Open-source project available at </t>
    </r>
    <r>
      <rPr>
        <rFont val="Arial"/>
        <color rgb="FF1155CC"/>
        <u/>
      </rPr>
      <t>https://github.com/google/artemis</t>
    </r>
    <r>
      <rPr>
        <rFont val="Arial"/>
      </rPr>
      <t xml:space="preserve"> </t>
    </r>
  </si>
  <si>
    <r>
      <rPr>
        <color rgb="FF1155CC"/>
        <u/>
      </rPr>
      <t>MobileUseAgent</t>
    </r>
  </si>
  <si>
    <t>Seed1.8-GUI</t>
  </si>
  <si>
    <t>Finalrun</t>
  </si>
  <si>
    <t>Gemini 3 flash, Gemini 3 flash lite</t>
  </si>
  <si>
    <t>https://drive.google.com/file/d/1NITEkiYb3itSq46I8BYsmzefEddzYbqm/view?usp=sharing</t>
  </si>
  <si>
    <r>
      <rPr>
        <rFont val="Arial"/>
      </rPr>
      <t xml:space="preserve">04/2026: Project is open-source at </t>
    </r>
    <r>
      <rPr>
        <rFont val="Arial"/>
        <color rgb="FF1155CC"/>
        <u/>
      </rPr>
      <t xml:space="preserve">https://github.com/final-run/finalrun-agent
</t>
    </r>
    <r>
      <rPr>
        <rFont val="Arial"/>
      </rPr>
      <t>03/2026: Updated results: https://blogs.finalrun.app/finalrun-achieves-the-new-1-sota-mobile-agent-eclipsing-benchmarks-at-97-4
08/2025: The technical doc/approach can be found here: https://github.com/final-run/finalrun-android-world-benchmark</t>
    </r>
  </si>
  <si>
    <t>askui AndroidVisionAgent</t>
  </si>
  <si>
    <t>askui AndroidVisionAgent, Claude 4.5 Sonnet + Claude 4.0 Sonnet</t>
  </si>
  <si>
    <t>n/a</t>
  </si>
  <si>
    <r>
      <rPr>
        <color rgb="FF1155CC"/>
        <u/>
      </rPr>
      <t>AutoDevice</t>
    </r>
  </si>
  <si>
    <t>gemini 3 pro + sonnet 4.5</t>
  </si>
  <si>
    <r>
      <rPr>
        <color rgb="FF1155CC"/>
        <u/>
      </rPr>
      <t>https://autodevice.io/</t>
    </r>
    <r>
      <rPr/>
      <t>benchmark/</t>
    </r>
  </si>
  <si>
    <r>
      <t xml:space="preserve">Agent code is available on </t>
    </r>
    <r>
      <rPr>
        <rFont val="Arial"/>
        <color rgb="FF1155CC"/>
        <u/>
      </rPr>
      <t>https://github.com/autodevice/</t>
    </r>
    <r>
      <rPr>
        <rFont val="Arial"/>
        <color rgb="FF222222"/>
      </rPr>
      <t>android_world</t>
    </r>
  </si>
  <si>
    <t>Midscene.js</t>
  </si>
  <si>
    <t>Gemini-3.5-Flash</t>
  </si>
  <si>
    <t>pass@2 95.69, pass@3 97.41</t>
  </si>
  <si>
    <r>
      <t xml:space="preserve">Trajectory submissions: </t>
    </r>
    <r>
      <rPr>
        <rFont val="Arial, Helvetica, sans-serif"/>
        <color rgb="FF1155CC"/>
        <u/>
      </rPr>
      <t>https://midscenejs.com/</t>
    </r>
    <r>
      <rPr>
        <rFont val="Arial, Helvetica, sans-serif"/>
        <color rgb="FF222222"/>
      </rPr>
      <t>android-world-benchmark-report</t>
    </r>
  </si>
  <si>
    <t>mobile-use</t>
  </si>
  <si>
    <t>Llama 4-scout, Gemini 2.5 pro, GPT-5 nano</t>
  </si>
  <si>
    <t>https://minitap.ai/benchmark</t>
  </si>
  <si>
    <t>[12/16/2025] 84.5% -&gt; 91.4%
[10/1/2025]: 77.6% -&gt; 84.5%
[09/12/2025]: Updated score from 74.1% --&gt; 77.6%
[08/19/2025]: Initial trajectory labeling issue (MarkorCreateNoteFromClipboard) has been corrected by the authors. They provide Discord support for setup issues.
[08/18/2025]: Repo has been reported broken by some users (not independently verified). Some trajectories (e.g., MarkorCreateNoteFromClipboard, BrowserMaze) are labeled as successful by the authors but contain incorrect actions</t>
  </si>
  <si>
    <t>Agent-Visco</t>
  </si>
  <si>
    <t>https://work.aliyun.com/alimail/openLinks/downloadMimeMetaDiskBigAttach?id=netdiskid%3Av001%3Afile%3ADzzzzzzNqZy%3BG8EhE7UV7U9nk2t2O6opysa%2BgRf5Zm6eTqXqtVApm1nDD8W%2BxnLAgdDsJsOSlxfXTx44NU7qRM%2BkJMuIA0smltxGWspXGX2Ox228yqp07rNX%2FIm2QehcGJBgHwUs0f81cz2sX76WNxvxnhpZnqmxiYxHNHRd2hybrPLi2DRQ8bM5ORhI%2BtGG%2B7n%2BcxdY1Ji0</t>
  </si>
  <si>
    <t>Research paper and codes will be open-source in early months.</t>
  </si>
  <si>
    <t>Surfer 2</t>
  </si>
  <si>
    <t>o3 + holo1.5-72b</t>
  </si>
  <si>
    <t>pass@3 93.1</t>
  </si>
  <si>
    <t>https://hcompai.github.io/android-world-traces/</t>
  </si>
  <si>
    <r>
      <rPr>
        <rFont val="Arial"/>
      </rPr>
      <t xml:space="preserve">Agent is based on </t>
    </r>
    <r>
      <rPr>
        <rFont val="Arial"/>
        <color rgb="FF1155CC"/>
        <u/>
      </rPr>
      <t>https://github.com/hcompai/surfer-h-cli</t>
    </r>
    <r>
      <rPr>
        <rFont val="Arial"/>
      </rPr>
      <t xml:space="preserve"> - same architecture, but with modifications to prompt and action space</t>
    </r>
  </si>
  <si>
    <r>
      <rPr>
        <color rgb="FF1155CC"/>
        <u/>
      </rPr>
      <t>gbox.ai</t>
    </r>
  </si>
  <si>
    <t>Sonnet 4.5 + Sonnet 4</t>
  </si>
  <si>
    <t>https://github.com/babelcloud/android_world_benchmark/tree/main/GBOX/trajectory</t>
  </si>
  <si>
    <t>GBOX uses Claude code as the agent with GBOX mcp. Link to report -&gt; https://github.com/babelcloud/android_world_benchmark/blob/main/GBOX/report.md</t>
  </si>
  <si>
    <t>AutoGLM-Mobile</t>
  </si>
  <si>
    <t>9B</t>
  </si>
  <si>
    <t>autoglm-mobile-aw-ckpt.zip</t>
  </si>
  <si>
    <t>[9/26/2025]: Updated score from 75.8 --&gt; 80.2 This is an updated version of AutoGLM-Mobile. In this version, we added more pretraining data and trained the VLM at full image resolution.</t>
  </si>
  <si>
    <t>LX-GUIAgent</t>
  </si>
  <si>
    <t>androidworld-trajectories.zip</t>
  </si>
  <si>
    <t>[9/23/2025]: Updated score from 75.0 --&gt; 79.3. Added trajectories.</t>
  </si>
  <si>
    <t>AgentProg</t>
  </si>
  <si>
    <t>Gemini-2.5-Pro+UI-TARS-1.5</t>
  </si>
  <si>
    <t>AgentProg_AndroidWorld.zip</t>
  </si>
  <si>
    <r>
      <rPr>
        <color rgb="FF000000"/>
      </rPr>
      <t xml:space="preserve">Paper: </t>
    </r>
    <r>
      <rPr>
        <color rgb="FF1155CC"/>
        <u/>
      </rPr>
      <t>https://arxiv.org/pdf/2512.10371;</t>
    </r>
    <r>
      <rPr>
        <color rgb="FF000000"/>
      </rPr>
      <t xml:space="preserve"> Code: </t>
    </r>
    <r>
      <rPr>
        <color rgb="FF1155CC"/>
        <u/>
      </rPr>
      <t>https://github.com/MobileLLM/AgentProg</t>
    </r>
  </si>
  <si>
    <t>K²-Agent</t>
  </si>
  <si>
    <t>72B + 7B</t>
  </si>
  <si>
    <t>Qwen2.5-VL-72B + Qwen2.5-VL-7B</t>
  </si>
  <si>
    <r>
      <rPr>
        <color rgb="FF1155CC"/>
        <u/>
      </rPr>
      <t>https://github.com/k2-agent/</t>
    </r>
    <r>
      <rPr/>
      <t>k2-agent/blob/main/androidworld-trajectories.zip</t>
    </r>
  </si>
  <si>
    <t>K²-Agent, a hierarchical approach that self-evolves a Qwen2.5-VL-72B for high-level planning and post-trains a Qwen2.5-VL-7B for low-level execution.
Our GitHub repository, which contains a detailed description of our approach, can be found here: https://github.com/k2-agent/k2-agent.</t>
  </si>
  <si>
    <t>MAI-UI</t>
  </si>
  <si>
    <t>235B</t>
  </si>
  <si>
    <t>MAI-UI-235B-A22B</t>
  </si>
  <si>
    <t>MobileUse-v2</t>
  </si>
  <si>
    <t>32B</t>
  </si>
  <si>
    <t>Hammer-UI-32B</t>
  </si>
  <si>
    <t>MobileUse-v2-aw-ckpt.zip</t>
  </si>
  <si>
    <t>Make further post-training based on the GUI-Owl-32b model. Optimize the memory and knowledge module of the MobileUse framework.</t>
  </si>
  <si>
    <t>Mobile-Agent-v3</t>
  </si>
  <si>
    <t>GUI-Owl-32B</t>
  </si>
  <si>
    <t>https://github.com/X-PLUG/MobileAgent/tree/main</t>
  </si>
  <si>
    <t>MAI-UI-32B</t>
  </si>
  <si>
    <t>MAI-UI-8B</t>
  </si>
  <si>
    <t xml:space="preserve">Gemini 2.5 Computer Use </t>
  </si>
  <si>
    <t>JT-GUIAgent-V2</t>
  </si>
  <si>
    <t>GUI-Owl-7B</t>
  </si>
  <si>
    <t>7B</t>
  </si>
  <si>
    <t>UI-Venus</t>
  </si>
  <si>
    <t>72B</t>
  </si>
  <si>
    <t>UI-Venus-Navi-72B</t>
  </si>
  <si>
    <t>https://github.com/inclusionAI/UI-Venus/blob/main/vis_androidworld/UI-Venus-androidworld.zip</t>
  </si>
  <si>
    <t>https://huggingface.co/inclusionAI/UI-Venus-Navi-72B</t>
  </si>
  <si>
    <t>MobileUse</t>
  </si>
  <si>
    <t>Qwen2.5-VL-72B</t>
  </si>
  <si>
    <t>Seed1.5-VL</t>
  </si>
  <si>
    <t>20.B</t>
  </si>
  <si>
    <t>JT-GUIAgent-V1</t>
  </si>
  <si>
    <t>V-Droid Paper</t>
  </si>
  <si>
    <t>V-Droid (Llama8B)</t>
  </si>
  <si>
    <r>
      <rPr>
        <b/>
      </rPr>
      <t>Training data consists of apps and tasks from the AndroidWorld benchmark</t>
    </r>
    <r>
      <rPr/>
      <t xml:space="preserve">. </t>
    </r>
    <r>
      <rPr>
        <color rgb="FF1155CC"/>
        <u/>
      </rPr>
      <t>Code</t>
    </r>
    <r>
      <rPr/>
      <t>.</t>
    </r>
  </si>
  <si>
    <t>Agent S2</t>
  </si>
  <si>
    <t>Venus-Navi-7B</t>
  </si>
  <si>
    <t>https://huggingface.co/inclusionAI/UI-Venus-Navi-7B</t>
  </si>
  <si>
    <t>2B</t>
  </si>
  <si>
    <t>MAI-UI-2B</t>
  </si>
  <si>
    <t>GUI-Explorer</t>
  </si>
  <si>
    <t>AndroidGen</t>
  </si>
  <si>
    <t>UI-TARS</t>
  </si>
  <si>
    <t>UGround</t>
  </si>
  <si>
    <t>GPT-4o + UGround</t>
  </si>
  <si>
    <r>
      <rPr>
        <rFont val="Arial"/>
        <color rgb="FF1155CC"/>
        <u/>
      </rPr>
      <t>Code</t>
    </r>
    <r>
      <rPr>
        <rFont val="Arial"/>
      </rPr>
      <t xml:space="preserve"> for reproduction</t>
    </r>
  </si>
  <si>
    <t>With Mirage-1-O; uses OS-Atlas grounder</t>
  </si>
  <si>
    <t>Ponder &amp; Press</t>
  </si>
  <si>
    <t>Code is not yet open-sourced</t>
  </si>
  <si>
    <t>GUI-Critic-R1</t>
  </si>
  <si>
    <t>Qwen-2.5-VL-7B</t>
  </si>
  <si>
    <t>EcoAgent</t>
  </si>
  <si>
    <t>GPT-4o, OS-Atlas-Pro 4B, Qwen2-VL-2B-Instruct</t>
  </si>
  <si>
    <t>InfiGUIAgent</t>
  </si>
  <si>
    <t>Qwen2-VL-2B (fine-tuned)</t>
  </si>
  <si>
    <t>OSCAR</t>
  </si>
  <si>
    <t>61.6 (k=4)</t>
  </si>
  <si>
    <t>Code will be open-source upon publication.</t>
  </si>
  <si>
    <t>Human Performance</t>
  </si>
  <si>
    <t>Human</t>
  </si>
  <si>
    <t>Comment here or email crawles@gmail.com to submit your work! Please attach how should the data entry look like.</t>
  </si>
  <si>
    <t>Definitions</t>
  </si>
  <si>
    <t xml:space="preserve">A relatively simple prompt involving one LLM /VLM call </t>
  </si>
  <si>
    <t>A multi-agent architecture involving several LLM calls and a protocol to coordinate the various agents or an LLM wrapped into an advanced agent with memory, subgoal planning, etc.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</si>
</sst>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yyyy"/>
    <numFmt numFmtId="165" formatCode="m/yyyy"/>
    <numFmt numFmtId="166" formatCode="#,##0.0"/>
  </numFmts>
  <fonts count="23">
    <font>
      <sz val="10.0"/>
      <color rgb="FF000000"/>
      <name val="Arial"/>
      <scheme val="minor"/>
    </font>
    <font>
      <b/>
      <color theme="1"/>
      <name val="Arial"/>
    </font>
    <font>
      <b/>
      <color rgb="FF783F04"/>
      <name val="Arial"/>
    </font>
    <font>
      <color theme="1"/>
      <name val="Arial"/>
    </font>
    <font>
      <u/>
      <color rgb="FF0000FF"/>
      <name val="Arial"/>
    </font>
    <font>
      <color rgb="FF666666"/>
      <name val="Arial"/>
    </font>
    <font>
      <color theme="1"/>
      <name val="Arial"/>
      <scheme val="minor"/>
    </font>
    <font>
      <u/>
      <color rgb="FF0000FF"/>
    </font>
    <font>
      <color rgb="FF5A3286"/>
      <name val="Arial"/>
    </font>
    <font>
      <color rgb="FF222222"/>
      <name val="Arial"/>
    </font>
    <font>
      <u/>
      <color rgb="FF0000FF"/>
    </font>
    <font>
      <u/>
      <color rgb="FF0000FF"/>
      <name val="Arial"/>
    </font>
    <font>
      <u/>
      <color rgb="FF222222"/>
      <name val="Arial"/>
    </font>
    <font>
      <u/>
      <color rgb="FF0000FF"/>
      <name val="Arial"/>
    </font>
    <font>
      <u/>
      <color rgb="FF222222"/>
      <name val="Arial"/>
    </font>
    <font>
      <u/>
      <color rgb="FF0000FF"/>
      <name val="Arial"/>
    </font>
    <font>
      <u/>
      <color theme="1"/>
      <name val="Arial"/>
    </font>
    <font>
      <u/>
      <color theme="1"/>
      <name val="Arial"/>
      <scheme val="minor"/>
    </font>
    <font>
      <u/>
      <color rgb="FF000000"/>
    </font>
    <font>
      <u/>
      <color rgb="FF1155CC"/>
      <name val="Arial"/>
    </font>
    <font>
      <color rgb="FF222222"/>
      <name val="Tahoma"/>
    </font>
    <font>
      <sz val="12.0"/>
      <color rgb="FF000000"/>
      <name val="Aptos"/>
    </font>
    <font>
      <color rgb="FF11734B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2" fontId="2" numFmtId="49" xfId="0" applyAlignment="1" applyFill="1" applyFont="1" applyNumberFormat="1">
      <alignment vertical="bottom"/>
    </xf>
    <xf borderId="0" fillId="0" fontId="3" numFmtId="0" xfId="0" applyAlignment="1" applyFont="1">
      <alignment vertical="bottom"/>
    </xf>
    <xf borderId="0" fillId="0" fontId="1" numFmtId="49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3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left" readingOrder="0" vertical="bottom"/>
    </xf>
    <xf borderId="0" fillId="0" fontId="4" numFmtId="0" xfId="0" applyAlignment="1" applyFont="1">
      <alignment readingOrder="0" vertical="bottom"/>
    </xf>
    <xf borderId="0" fillId="3" fontId="5" numFmtId="0" xfId="0" applyAlignment="1" applyFill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6" numFmtId="49" xfId="0" applyFont="1" applyNumberFormat="1"/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left" readingOrder="0" vertical="bottom"/>
    </xf>
    <xf borderId="0" fillId="0" fontId="7" numFmtId="0" xfId="0" applyAlignment="1" applyFont="1">
      <alignment readingOrder="0"/>
    </xf>
    <xf borderId="0" fillId="0" fontId="3" numFmtId="165" xfId="0" applyAlignment="1" applyFont="1" applyNumberForma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8" numFmtId="0" xfId="0" applyAlignment="1" applyFont="1">
      <alignment horizontal="left" readingOrder="0" vertical="bottom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horizontal="right" vertical="bottom"/>
    </xf>
    <xf borderId="0" fillId="3" fontId="5" numFmtId="0" xfId="0" applyAlignment="1" applyFill="1" applyFont="1">
      <alignment horizontal="center" vertical="bottom"/>
    </xf>
    <xf borderId="0" fillId="0" fontId="3" numFmtId="166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4" fontId="9" numFmtId="0" xfId="0" applyAlignment="1" applyFill="1" applyFont="1">
      <alignment readingOrder="0" shrinkToFit="0" wrapText="0"/>
    </xf>
    <xf borderId="0" fillId="0" fontId="8" numFmtId="0" xfId="0" applyAlignment="1" applyFont="1">
      <alignment horizontal="right" readingOrder="0" vertical="bottom"/>
    </xf>
    <xf borderId="0" fillId="0" fontId="10" numFmtId="0" xfId="0" applyAlignment="1" applyFont="1">
      <alignment readingOrder="0"/>
    </xf>
    <xf borderId="0" fillId="4" fontId="9" numFmtId="0" xfId="0" applyAlignment="1" applyFill="1" applyFont="1">
      <alignment readingOrder="0"/>
    </xf>
    <xf borderId="0" fillId="0" fontId="11" numFmtId="0" xfId="0" applyAlignment="1" applyFont="1">
      <alignment readingOrder="0" vertical="bottom"/>
    </xf>
    <xf borderId="0" fillId="4" fontId="9" numFmtId="0" xfId="0" applyAlignment="1" applyFill="1" applyFont="1">
      <alignment readingOrder="0"/>
    </xf>
    <xf borderId="0" fillId="4" fontId="12" numFmtId="0" xfId="0" applyAlignment="1" applyFill="1" applyFont="1">
      <alignment readingOrder="0"/>
    </xf>
    <xf borderId="0" fillId="4" fontId="13" numFmtId="0" xfId="0" applyAlignment="1" applyFill="1" applyFont="1">
      <alignment readingOrder="0"/>
    </xf>
    <xf borderId="0" fillId="4" fontId="14" numFmtId="0" xfId="0" applyAlignment="1" applyFill="1" applyFont="1">
      <alignment readingOrder="0"/>
    </xf>
    <xf borderId="0" fillId="0" fontId="3" numFmtId="0" xfId="0" applyAlignment="1" applyFont="1">
      <alignment horizontal="left" vertical="bottom"/>
    </xf>
    <xf borderId="0" fillId="0" fontId="3" numFmtId="166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vertical="bottom"/>
    </xf>
    <xf borderId="0" fillId="4" fontId="20" numFmtId="0" xfId="0" applyAlignment="1" applyFill="1" applyFont="1">
      <alignment readingOrder="0" vertical="bottom"/>
    </xf>
    <xf borderId="0" fillId="4" fontId="20" numFmtId="0" xfId="0" applyAlignment="1" applyFill="1" applyFont="1">
      <alignment vertical="bottom"/>
    </xf>
    <xf borderId="0" fillId="0" fontId="3" numFmtId="164" xfId="0" applyAlignment="1" applyFont="1" applyNumberForma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21" numFmtId="0" xfId="0" applyAlignment="1" applyFont="1">
      <alignment horizontal="right" readingOrder="0" vertical="bottom"/>
    </xf>
    <xf borderId="0" fillId="0" fontId="21" numFmtId="0" xfId="0" applyAlignment="1" applyFont="1">
      <alignment horizontal="left" readingOrder="0" vertical="bottom"/>
    </xf>
    <xf borderId="0" fillId="0" fontId="22" numFmtId="0" xfId="0" applyAlignment="1" applyFont="1">
      <alignment horizontal="left" readingOrder="0"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horizontal="left" vertical="bottom"/>
    </xf>
    <xf borderId="0" fillId="5" fontId="3" numFmtId="49" xfId="0" applyAlignment="1" applyFill="1" applyFont="1" applyNumberFormat="1">
      <alignment horizontal="center" readingOrder="0" vertical="bottom"/>
    </xf>
    <xf borderId="0" fillId="5" fontId="3" numFmtId="0" xfId="0" applyAlignment="1" applyFill="1" applyFont="1">
      <alignment horizontal="center" readingOrder="0" vertical="bottom"/>
    </xf>
    <xf borderId="0" fillId="0" fontId="3" numFmtId="49" xfId="0" applyAlignment="1" applyFont="1" applyNumberFormat="1">
      <alignment horizontal="right"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166" xfId="0" applyAlignment="1" applyFont="1" applyNumberFormat="1">
      <alignment vertical="bottom"/>
    </xf>
    <xf borderId="0" fillId="0" fontId="3" numFmtId="166" xfId="0" applyAlignment="1" applyFont="1" applyNumberFormat="1">
      <alignment horizontal="center" readingOrder="0" vertical="bottom"/>
    </xf>
    <xf borderId="0" fillId="6" fontId="1" numFmtId="49" xfId="0" applyAlignment="1" applyFill="1" applyFont="1" applyNumberFormat="1">
      <alignment horizontal="center" readingOrder="0" vertical="bottom"/>
    </xf>
    <xf borderId="0" fillId="6" fontId="1" numFmtId="0" xfId="0" applyAlignment="1" applyFill="1" applyFont="1">
      <alignment horizontal="center" readingOrder="0" vertical="bottom"/>
    </xf>
    <xf borderId="0" fillId="7" fontId="1" numFmtId="49" xfId="0" applyAlignment="1" applyFill="1" applyFont="1" applyNumberFormat="1">
      <alignment vertical="bottom"/>
    </xf>
    <xf borderId="0" fillId="7" fontId="1" numFmtId="0" xfId="0" applyAlignment="1" applyFill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ongyi-mai.github.io/MAI-UI-blog/" TargetMode="External"/><Relationship Id="rId42" Type="http://schemas.openxmlformats.org/officeDocument/2006/relationships/hyperlink" Target="https://drive.google.com/file/d/13TLIwX4LgdNwp2m2entfwXf8S2MjhOdM/view?usp=sharing" TargetMode="External"/><Relationship Id="rId41" Type="http://schemas.openxmlformats.org/officeDocument/2006/relationships/hyperlink" Target="https://github.com/MadeAgents/mobile-use" TargetMode="External"/><Relationship Id="rId44" Type="http://schemas.openxmlformats.org/officeDocument/2006/relationships/hyperlink" Target="https://github.com/X-PLUG/MobileAgent/tree/main" TargetMode="External"/><Relationship Id="rId43" Type="http://schemas.openxmlformats.org/officeDocument/2006/relationships/hyperlink" Target="https://arxiv.org/pdf/2508.15144" TargetMode="External"/><Relationship Id="rId46" Type="http://schemas.openxmlformats.org/officeDocument/2006/relationships/hyperlink" Target="https://tongyi-mai.github.io/MAI-UI-blog/" TargetMode="External"/><Relationship Id="rId45" Type="http://schemas.openxmlformats.org/officeDocument/2006/relationships/hyperlink" Target="https://tongyi-mai.github.io/MAI-UI-blog/" TargetMode="External"/><Relationship Id="rId80" Type="http://schemas.openxmlformats.org/officeDocument/2006/relationships/drawing" Target="../drawings/drawing1.xml"/><Relationship Id="rId1" Type="http://schemas.openxmlformats.org/officeDocument/2006/relationships/hyperlink" Target="https://fluiz.ai/benchmark" TargetMode="External"/><Relationship Id="rId2" Type="http://schemas.openxmlformats.org/officeDocument/2006/relationships/hyperlink" Target="https://android-world.fluiz.ai/" TargetMode="External"/><Relationship Id="rId3" Type="http://schemas.openxmlformats.org/officeDocument/2006/relationships/hyperlink" Target="https://abhishekdh.github.io/kirk-engine/" TargetMode="External"/><Relationship Id="rId4" Type="http://schemas.openxmlformats.org/officeDocument/2006/relationships/hyperlink" Target="https://abhishekdh.github.io/kirk-engine/" TargetMode="External"/><Relationship Id="rId9" Type="http://schemas.openxmlformats.org/officeDocument/2006/relationships/hyperlink" Target="https://drive.google.com/file/d/1zLDr1jpp3fOMP2y5Dxo1Rk6J_iO5Zn-N/view" TargetMode="External"/><Relationship Id="rId48" Type="http://schemas.openxmlformats.org/officeDocument/2006/relationships/hyperlink" Target="https://github.com/JT-GUIAgent/JT-GUIAgent-V1/tree/main" TargetMode="External"/><Relationship Id="rId47" Type="http://schemas.openxmlformats.org/officeDocument/2006/relationships/hyperlink" Target="https://blog.google/technology/google-deepmind/gemini-computer-use-model/" TargetMode="External"/><Relationship Id="rId49" Type="http://schemas.openxmlformats.org/officeDocument/2006/relationships/hyperlink" Target="https://arxiv.org/pdf/2508.15144" TargetMode="External"/><Relationship Id="rId5" Type="http://schemas.openxmlformats.org/officeDocument/2006/relationships/hyperlink" Target="https://mobilerun.ai/benchmark/" TargetMode="External"/><Relationship Id="rId6" Type="http://schemas.openxmlformats.org/officeDocument/2006/relationships/hyperlink" Target="https://mobilerun.ai/benchmark/" TargetMode="External"/><Relationship Id="rId7" Type="http://schemas.openxmlformats.org/officeDocument/2006/relationships/hyperlink" Target="https://droidrun.ai/benchmark/method/" TargetMode="External"/><Relationship Id="rId8" Type="http://schemas.openxmlformats.org/officeDocument/2006/relationships/hyperlink" Target="https://www.theagi.company/blog/android-world" TargetMode="External"/><Relationship Id="rId73" Type="http://schemas.openxmlformats.org/officeDocument/2006/relationships/hyperlink" Target="https://invinciblewyq.github.io/ponder-press-page/" TargetMode="External"/><Relationship Id="rId72" Type="http://schemas.openxmlformats.org/officeDocument/2006/relationships/hyperlink" Target="https://cybertronagent.github.io/Mirage-1.github.io/" TargetMode="External"/><Relationship Id="rId31" Type="http://schemas.openxmlformats.org/officeDocument/2006/relationships/hyperlink" Target="https://arxiv.org/abs/2509.18119" TargetMode="External"/><Relationship Id="rId75" Type="http://schemas.openxmlformats.org/officeDocument/2006/relationships/hyperlink" Target="https://github.com/X-PLUG/MobileAgent/tree/main/GUI-Critic-R1" TargetMode="External"/><Relationship Id="rId30" Type="http://schemas.openxmlformats.org/officeDocument/2006/relationships/hyperlink" Target="https://github.com/babelcloud/android_world_benchmark/tree/main/GBOX/trajectory" TargetMode="External"/><Relationship Id="rId74" Type="http://schemas.openxmlformats.org/officeDocument/2006/relationships/hyperlink" Target="https://arxiv.org/abs/2405.14573" TargetMode="External"/><Relationship Id="rId33" Type="http://schemas.openxmlformats.org/officeDocument/2006/relationships/hyperlink" Target="https://github.com/LX-GUIAgent/LX-GUIAgent" TargetMode="External"/><Relationship Id="rId77" Type="http://schemas.openxmlformats.org/officeDocument/2006/relationships/hyperlink" Target="https://arxiv.org/abs/2501.04575" TargetMode="External"/><Relationship Id="rId32" Type="http://schemas.openxmlformats.org/officeDocument/2006/relationships/hyperlink" Target="https://drive.google.com/file/d/17VvochIjiu10i_EnoX1iRHqWQnjZj3--/view?usp=sharing" TargetMode="External"/><Relationship Id="rId76" Type="http://schemas.openxmlformats.org/officeDocument/2006/relationships/hyperlink" Target="https://arxiv.org/abs/2505.05440" TargetMode="External"/><Relationship Id="rId35" Type="http://schemas.openxmlformats.org/officeDocument/2006/relationships/hyperlink" Target="https://github.com/MobileLLM/AgentProg)" TargetMode="External"/><Relationship Id="rId79" Type="http://schemas.openxmlformats.org/officeDocument/2006/relationships/hyperlink" Target="https://arxiv.org/abs/2405.14573" TargetMode="External"/><Relationship Id="rId34" Type="http://schemas.openxmlformats.org/officeDocument/2006/relationships/hyperlink" Target="https://drive.google.com/file/d/1W7pE3omDKGxKV07AYj1rdDC8iWQBoQUi/view?usp=sharing" TargetMode="External"/><Relationship Id="rId78" Type="http://schemas.openxmlformats.org/officeDocument/2006/relationships/hyperlink" Target="https://arxiv.org/abs/2410.18963" TargetMode="External"/><Relationship Id="rId71" Type="http://schemas.openxmlformats.org/officeDocument/2006/relationships/hyperlink" Target="https://github.com/boyugou/android_world_seeact_v" TargetMode="External"/><Relationship Id="rId70" Type="http://schemas.openxmlformats.org/officeDocument/2006/relationships/hyperlink" Target="https://huggingface.co/datasets/BoyuNLP/Misc/tree/main/Experiments/AndroidWorld" TargetMode="External"/><Relationship Id="rId37" Type="http://schemas.openxmlformats.org/officeDocument/2006/relationships/hyperlink" Target="https://arxiv.org/pdf/2512.10371;" TargetMode="External"/><Relationship Id="rId36" Type="http://schemas.openxmlformats.org/officeDocument/2006/relationships/hyperlink" Target="https://drive.google.com/file/d/1lFmKOWi8npQ9jsmR25fhBLuqu4dyyLxG/view?usp=drive_link" TargetMode="External"/><Relationship Id="rId39" Type="http://schemas.openxmlformats.org/officeDocument/2006/relationships/hyperlink" Target="https://github.com/k2-agent/k2-agent/blob/main/androidworld-trajectories.zip" TargetMode="External"/><Relationship Id="rId38" Type="http://schemas.openxmlformats.org/officeDocument/2006/relationships/hyperlink" Target="https://github.com/k2-agent/k2-agent" TargetMode="External"/><Relationship Id="rId62" Type="http://schemas.openxmlformats.org/officeDocument/2006/relationships/hyperlink" Target="https://huggingface.co/inclusionAI/UI-Venus-Navi-7B" TargetMode="External"/><Relationship Id="rId61" Type="http://schemas.openxmlformats.org/officeDocument/2006/relationships/hyperlink" Target="https://github.com/inclusionAI/UI-Venus/blob/main/vis_androidworld/UI-Venus-androidworld.zip" TargetMode="External"/><Relationship Id="rId20" Type="http://schemas.openxmlformats.org/officeDocument/2006/relationships/hyperlink" Target="https://github.com/autodevice/android_world" TargetMode="External"/><Relationship Id="rId64" Type="http://schemas.openxmlformats.org/officeDocument/2006/relationships/hyperlink" Target="https://github.com/JiuTian-VL/GUI-explorer" TargetMode="External"/><Relationship Id="rId63" Type="http://schemas.openxmlformats.org/officeDocument/2006/relationships/hyperlink" Target="https://tongyi-mai.github.io/MAI-UI-blog/" TargetMode="External"/><Relationship Id="rId22" Type="http://schemas.openxmlformats.org/officeDocument/2006/relationships/hyperlink" Target="https://midscenejs.com/android-world-benchmark-report" TargetMode="External"/><Relationship Id="rId66" Type="http://schemas.openxmlformats.org/officeDocument/2006/relationships/hyperlink" Target="https://arxiv.org/pdf/2501.12326" TargetMode="External"/><Relationship Id="rId21" Type="http://schemas.openxmlformats.org/officeDocument/2006/relationships/hyperlink" Target="https://midscenejs.com/android-world-benchmark-report" TargetMode="External"/><Relationship Id="rId65" Type="http://schemas.openxmlformats.org/officeDocument/2006/relationships/hyperlink" Target="https://github.com/THUDM/AndroidGen" TargetMode="External"/><Relationship Id="rId24" Type="http://schemas.openxmlformats.org/officeDocument/2006/relationships/hyperlink" Target="https://github.com/sys-reasoner/Visco" TargetMode="External"/><Relationship Id="rId68" Type="http://schemas.openxmlformats.org/officeDocument/2006/relationships/hyperlink" Target="https://arxiv.org/abs/2505.00416" TargetMode="External"/><Relationship Id="rId23" Type="http://schemas.openxmlformats.org/officeDocument/2006/relationships/hyperlink" Target="https://minitap.ai/benchmark" TargetMode="External"/><Relationship Id="rId67" Type="http://schemas.openxmlformats.org/officeDocument/2006/relationships/hyperlink" Target="https://ariaui.github.io/" TargetMode="External"/><Relationship Id="rId60" Type="http://schemas.openxmlformats.org/officeDocument/2006/relationships/hyperlink" Target="https://arxiv.org/abs/2508.10833" TargetMode="External"/><Relationship Id="rId26" Type="http://schemas.openxmlformats.org/officeDocument/2006/relationships/hyperlink" Target="https://www.hcompany.ai/blog/surfer-2" TargetMode="External"/><Relationship Id="rId25" Type="http://schemas.openxmlformats.org/officeDocument/2006/relationships/hyperlink" Target="https://work.aliyun.com/alimail/openLinks/downloadMimeMetaDiskBigAttach?id=netdiskid%3Av001%3Afile%3ADzzzzzzNqZy%3BG8EhE7UV7U9nk2t2O6opysa%2BgRf5Zm6eTqXqtVApm1nDD8W%2BxnLAgdDsJsOSlxfXTx44NU7qRM%2BkJMuIA0smltxGWspXGX2Ox228yqp07rNX%2FIm2QehcGJBgHwUs0f81cz2sX76WNxvxnhpZnqmxiYxHNHRd2hybrPLi2DRQ8bM5ORhI%2BtGG%2B7n%2BcxdY1Ji0" TargetMode="External"/><Relationship Id="rId69" Type="http://schemas.openxmlformats.org/officeDocument/2006/relationships/hyperlink" Target="https://arxiv.org/abs/2410.05243" TargetMode="External"/><Relationship Id="rId28" Type="http://schemas.openxmlformats.org/officeDocument/2006/relationships/hyperlink" Target="https://github.com/hcompai/surfer-h-cli" TargetMode="External"/><Relationship Id="rId27" Type="http://schemas.openxmlformats.org/officeDocument/2006/relationships/hyperlink" Target="https://hcompai.github.io/android-world-traces/" TargetMode="External"/><Relationship Id="rId29" Type="http://schemas.openxmlformats.org/officeDocument/2006/relationships/hyperlink" Target="http://gbox.ai/" TargetMode="External"/><Relationship Id="rId51" Type="http://schemas.openxmlformats.org/officeDocument/2006/relationships/hyperlink" Target="https://arxiv.org/abs/2508.10833" TargetMode="External"/><Relationship Id="rId50" Type="http://schemas.openxmlformats.org/officeDocument/2006/relationships/hyperlink" Target="https://github.com/X-PLUG/MobileAgent/tree/main" TargetMode="External"/><Relationship Id="rId53" Type="http://schemas.openxmlformats.org/officeDocument/2006/relationships/hyperlink" Target="https://huggingface.co/inclusionAI/UI-Venus-Navi-72B" TargetMode="External"/><Relationship Id="rId52" Type="http://schemas.openxmlformats.org/officeDocument/2006/relationships/hyperlink" Target="https://github.com/inclusionAI/UI-Venus/blob/main/vis_androidworld/UI-Venus-androidworld.zip" TargetMode="External"/><Relationship Id="rId11" Type="http://schemas.openxmlformats.org/officeDocument/2006/relationships/hyperlink" Target="https://github.com/google/artemis" TargetMode="External"/><Relationship Id="rId55" Type="http://schemas.openxmlformats.org/officeDocument/2006/relationships/hyperlink" Target="https://github.com/ByteDance-Seed/Seed1.5-VL" TargetMode="External"/><Relationship Id="rId10" Type="http://schemas.openxmlformats.org/officeDocument/2006/relationships/hyperlink" Target="https://www.theagi.company/blog/android-world" TargetMode="External"/><Relationship Id="rId54" Type="http://schemas.openxmlformats.org/officeDocument/2006/relationships/hyperlink" Target="https://arxiv.org/abs/2507.16853" TargetMode="External"/><Relationship Id="rId13" Type="http://schemas.openxmlformats.org/officeDocument/2006/relationships/hyperlink" Target="https://github.com/volcengine/vePhone/tree/main/Quick%20Start/MobileUse" TargetMode="External"/><Relationship Id="rId57" Type="http://schemas.openxmlformats.org/officeDocument/2006/relationships/hyperlink" Target="https://arxiv.org/abs/2503.15937" TargetMode="External"/><Relationship Id="rId12" Type="http://schemas.openxmlformats.org/officeDocument/2006/relationships/hyperlink" Target="https://github.com/google/artemis" TargetMode="External"/><Relationship Id="rId56" Type="http://schemas.openxmlformats.org/officeDocument/2006/relationships/hyperlink" Target="https://github.com/JT-GUIAgent/JT-GUIAgent-V1/tree/main" TargetMode="External"/><Relationship Id="rId15" Type="http://schemas.openxmlformats.org/officeDocument/2006/relationships/hyperlink" Target="https://drive.google.com/file/d/1NITEkiYb3itSq46I8BYsmzefEddzYbqm/view?usp=sharing" TargetMode="External"/><Relationship Id="rId59" Type="http://schemas.openxmlformats.org/officeDocument/2006/relationships/hyperlink" Target="https://github.com/simular-ai/agent-S" TargetMode="External"/><Relationship Id="rId14" Type="http://schemas.openxmlformats.org/officeDocument/2006/relationships/hyperlink" Target="https://finalrun.app/benchmark/" TargetMode="External"/><Relationship Id="rId58" Type="http://schemas.openxmlformats.org/officeDocument/2006/relationships/hyperlink" Target="https://github.com/V-Droid-Agent/V-Droid" TargetMode="External"/><Relationship Id="rId17" Type="http://schemas.openxmlformats.org/officeDocument/2006/relationships/hyperlink" Target="https://www.askui.com/blog-posts/askui-vision-agent-achieves-2nd-place-on-androidworld-benchmark" TargetMode="External"/><Relationship Id="rId16" Type="http://schemas.openxmlformats.org/officeDocument/2006/relationships/hyperlink" Target="https://github.com/final-run/finalrun-agent" TargetMode="External"/><Relationship Id="rId19" Type="http://schemas.openxmlformats.org/officeDocument/2006/relationships/hyperlink" Target="https://autodevice.io/benchmark/" TargetMode="External"/><Relationship Id="rId18" Type="http://schemas.openxmlformats.org/officeDocument/2006/relationships/hyperlink" Target="https://autodevice.io/benchmark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rxiv.org/abs/2405.14573" TargetMode="External"/><Relationship Id="rId2" Type="http://schemas.openxmlformats.org/officeDocument/2006/relationships/hyperlink" Target="https://cybertronagent.github.io/Mirage-1.github.io/" TargetMode="External"/><Relationship Id="rId3" Type="http://schemas.openxmlformats.org/officeDocument/2006/relationships/hyperlink" Target="https://ariaui.github.io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2.25"/>
    <col customWidth="1" min="3" max="3" width="15.88"/>
    <col customWidth="1" min="4" max="4" width="17.5"/>
    <col customWidth="1" min="5" max="5" width="6.25"/>
    <col customWidth="1" min="6" max="6" width="11.25"/>
    <col customWidth="1" min="7" max="7" width="16.13"/>
    <col customWidth="1" min="8" max="8" width="21.75"/>
    <col customWidth="1" min="9" max="9" width="11.88"/>
    <col customWidth="1" min="10" max="10" width="8.38"/>
    <col customWidth="1" min="11" max="11" width="11.88"/>
    <col customWidth="1" min="12" max="12" width="15.88"/>
    <col customWidth="1" min="13" max="13" width="81.38"/>
    <col customWidth="1" min="14" max="14" width="59.0"/>
  </cols>
  <sheetData>
    <row r="1">
      <c r="A1" s="2" t="s">
        <v>1</v>
      </c>
    </row>
    <row r="2">
      <c r="A2" s="4" t="s">
        <v>12</v>
      </c>
      <c r="B2" s="1" t="s">
        <v>0</v>
      </c>
      <c r="C2" s="1" t="s">
        <v>2</v>
      </c>
      <c r="D2" s="5" t="s">
        <v>13</v>
      </c>
      <c r="E2" s="1" t="s">
        <v>3</v>
      </c>
      <c r="F2" s="1" t="s">
        <v>14</v>
      </c>
      <c r="G2" s="1" t="s">
        <v>5</v>
      </c>
      <c r="H2" s="1" t="s">
        <v>15</v>
      </c>
      <c r="I2" s="1" t="s">
        <v>16</v>
      </c>
      <c r="J2" s="1" t="s">
        <v>18</v>
      </c>
      <c r="K2" s="1" t="s">
        <v>19</v>
      </c>
      <c r="L2" s="1" t="s">
        <v>20</v>
      </c>
      <c r="M2" s="7" t="s">
        <v>11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16.5" customHeight="1">
      <c r="A3" s="11">
        <f>_xlfn.RANK.EQ(I3, $I$3:I$49)</f>
        <v>1</v>
      </c>
      <c r="B3" s="6">
        <v>46235.0</v>
      </c>
      <c r="C3" s="14" t="s">
        <v>24</v>
      </c>
      <c r="D3" s="10" t="s">
        <v>27</v>
      </c>
      <c r="E3" s="16" t="s">
        <v>28</v>
      </c>
      <c r="F3" s="10" t="s">
        <v>22</v>
      </c>
      <c r="G3" s="10" t="s">
        <v>29</v>
      </c>
      <c r="H3" s="10" t="s">
        <v>30</v>
      </c>
      <c r="I3" s="12">
        <v>100.0</v>
      </c>
      <c r="J3" s="13">
        <v>1.0</v>
      </c>
      <c r="K3" s="3"/>
      <c r="L3" s="8" t="s">
        <v>31</v>
      </c>
      <c r="M3" s="18" t="s">
        <v>34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16.5" customHeight="1">
      <c r="A4" s="11">
        <f>_xlfn.RANK.EQ(I3, $I$3:I$49)</f>
        <v>1</v>
      </c>
      <c r="B4" s="6">
        <v>46235.0</v>
      </c>
      <c r="C4" s="14" t="s">
        <v>39</v>
      </c>
      <c r="D4" s="10" t="s">
        <v>27</v>
      </c>
      <c r="E4" s="16" t="s">
        <v>28</v>
      </c>
      <c r="F4" s="10" t="s">
        <v>22</v>
      </c>
      <c r="G4" s="23" t="s">
        <v>41</v>
      </c>
      <c r="H4" s="10" t="s">
        <v>30</v>
      </c>
      <c r="I4" s="12">
        <v>100.0</v>
      </c>
      <c r="J4" s="13">
        <v>1.0</v>
      </c>
      <c r="K4" s="3"/>
      <c r="L4" s="25" t="s">
        <v>45</v>
      </c>
      <c r="M4" s="26" t="s">
        <v>34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16.5" customHeight="1">
      <c r="A5" s="11">
        <f t="shared" ref="A5:A48" si="1">_xlfn.RANK.EQ(I5, $I$3:I$49)</f>
        <v>1</v>
      </c>
      <c r="B5" s="6">
        <v>46293.0</v>
      </c>
      <c r="C5" s="8" t="s">
        <v>46</v>
      </c>
      <c r="D5" s="22" t="s">
        <v>27</v>
      </c>
      <c r="E5" s="20" t="s">
        <v>21</v>
      </c>
      <c r="F5" s="10" t="s">
        <v>22</v>
      </c>
      <c r="G5" s="10" t="s">
        <v>47</v>
      </c>
      <c r="H5" s="22" t="s">
        <v>30</v>
      </c>
      <c r="I5" s="12">
        <v>100.0</v>
      </c>
      <c r="J5" s="13">
        <v>1.0</v>
      </c>
      <c r="K5" s="3"/>
      <c r="L5" s="8" t="s">
        <v>48</v>
      </c>
      <c r="M5" s="8" t="s">
        <v>49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ht="16.5" customHeight="1">
      <c r="A6" s="11">
        <f t="shared" si="1"/>
        <v>1</v>
      </c>
      <c r="B6" s="6">
        <v>45937.0</v>
      </c>
      <c r="C6" s="25" t="s">
        <v>50</v>
      </c>
      <c r="D6" s="10" t="s">
        <v>27</v>
      </c>
      <c r="E6" s="16" t="s">
        <v>28</v>
      </c>
      <c r="F6" s="10" t="s">
        <v>22</v>
      </c>
      <c r="G6" s="10" t="s">
        <v>51</v>
      </c>
      <c r="H6" s="10" t="s">
        <v>33</v>
      </c>
      <c r="I6" s="12">
        <v>100.0</v>
      </c>
      <c r="J6" s="13">
        <v>1.0</v>
      </c>
      <c r="K6" s="3"/>
      <c r="L6" s="8" t="s">
        <v>48</v>
      </c>
      <c r="M6" s="8" t="s">
        <v>52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6.5" customHeight="1">
      <c r="A7" s="11">
        <f t="shared" si="1"/>
        <v>5</v>
      </c>
      <c r="B7" s="6">
        <v>46235.0</v>
      </c>
      <c r="C7" s="14" t="s">
        <v>53</v>
      </c>
      <c r="D7" s="10" t="s">
        <v>27</v>
      </c>
      <c r="E7" s="20" t="s">
        <v>21</v>
      </c>
      <c r="F7" s="10" t="s">
        <v>22</v>
      </c>
      <c r="G7" s="10" t="s">
        <v>54</v>
      </c>
      <c r="H7" s="10" t="s">
        <v>30</v>
      </c>
      <c r="I7" s="12">
        <v>99.1</v>
      </c>
      <c r="J7" s="13">
        <v>1.0</v>
      </c>
      <c r="K7" s="3"/>
      <c r="L7" s="18"/>
      <c r="M7" s="8" t="s">
        <v>55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ht="16.5" customHeight="1">
      <c r="A8" s="11">
        <f t="shared" si="1"/>
        <v>6</v>
      </c>
      <c r="B8" s="6">
        <v>46068.0</v>
      </c>
      <c r="C8" s="25" t="s">
        <v>56</v>
      </c>
      <c r="D8" s="10" t="s">
        <v>27</v>
      </c>
      <c r="E8" s="20" t="s">
        <v>21</v>
      </c>
      <c r="F8" s="10" t="s">
        <v>22</v>
      </c>
      <c r="G8" s="10" t="s">
        <v>57</v>
      </c>
      <c r="H8" s="10" t="s">
        <v>33</v>
      </c>
      <c r="I8" s="12">
        <v>97.4</v>
      </c>
      <c r="J8" s="13">
        <v>1.0</v>
      </c>
      <c r="K8" s="3"/>
      <c r="L8" s="18"/>
      <c r="M8" s="1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ht="16.5" customHeight="1">
      <c r="A9" s="11">
        <f t="shared" si="1"/>
        <v>6</v>
      </c>
      <c r="B9" s="15">
        <v>46088.0</v>
      </c>
      <c r="C9" s="8" t="s">
        <v>58</v>
      </c>
      <c r="D9" s="10" t="s">
        <v>27</v>
      </c>
      <c r="E9" s="20" t="s">
        <v>21</v>
      </c>
      <c r="F9" s="22" t="s">
        <v>22</v>
      </c>
      <c r="G9" s="26" t="s">
        <v>59</v>
      </c>
      <c r="H9" s="10" t="s">
        <v>30</v>
      </c>
      <c r="I9" s="21">
        <v>97.4</v>
      </c>
      <c r="J9" s="13">
        <v>1.0</v>
      </c>
      <c r="K9" s="3"/>
      <c r="L9" s="27" t="s">
        <v>60</v>
      </c>
      <c r="M9" s="8" t="s">
        <v>61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ht="16.5" customHeight="1">
      <c r="A10" s="11">
        <f t="shared" si="1"/>
        <v>8</v>
      </c>
      <c r="B10" s="6">
        <v>45954.0</v>
      </c>
      <c r="C10" s="14" t="s">
        <v>62</v>
      </c>
      <c r="D10" s="10" t="s">
        <v>27</v>
      </c>
      <c r="E10" s="20" t="s">
        <v>21</v>
      </c>
      <c r="F10" s="10" t="s">
        <v>22</v>
      </c>
      <c r="G10" s="10" t="s">
        <v>63</v>
      </c>
      <c r="H10" s="10" t="s">
        <v>33</v>
      </c>
      <c r="I10" s="12">
        <v>94.8</v>
      </c>
      <c r="J10" s="13">
        <v>1.0</v>
      </c>
      <c r="K10" s="3"/>
      <c r="L10" s="18" t="s">
        <v>64</v>
      </c>
      <c r="M10" s="18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ht="16.5" customHeight="1">
      <c r="A11" s="11">
        <f t="shared" si="1"/>
        <v>8</v>
      </c>
      <c r="B11" s="6">
        <v>46037.0</v>
      </c>
      <c r="C11" s="25" t="s">
        <v>65</v>
      </c>
      <c r="D11" s="10" t="s">
        <v>27</v>
      </c>
      <c r="E11" s="20" t="s">
        <v>21</v>
      </c>
      <c r="F11" s="10" t="s">
        <v>22</v>
      </c>
      <c r="G11" s="28" t="s">
        <v>66</v>
      </c>
      <c r="H11" s="10" t="s">
        <v>33</v>
      </c>
      <c r="I11" s="12">
        <v>94.8</v>
      </c>
      <c r="J11" s="13">
        <v>1.0</v>
      </c>
      <c r="K11" s="3"/>
      <c r="L11" s="25" t="s">
        <v>67</v>
      </c>
      <c r="M11" s="29" t="s">
        <v>68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ht="16.5" customHeight="1">
      <c r="A12" s="11">
        <f t="shared" si="1"/>
        <v>10</v>
      </c>
      <c r="B12" s="6">
        <v>46188.0</v>
      </c>
      <c r="C12" s="30" t="s">
        <v>69</v>
      </c>
      <c r="D12" s="10" t="s">
        <v>27</v>
      </c>
      <c r="E12" s="20" t="s">
        <v>21</v>
      </c>
      <c r="F12" s="10" t="s">
        <v>22</v>
      </c>
      <c r="G12" s="26" t="s">
        <v>70</v>
      </c>
      <c r="H12" s="10" t="s">
        <v>33</v>
      </c>
      <c r="I12" s="12">
        <v>93.1</v>
      </c>
      <c r="J12" s="13">
        <v>1.0</v>
      </c>
      <c r="K12" s="26" t="s">
        <v>71</v>
      </c>
      <c r="L12" s="31" t="s">
        <v>72</v>
      </c>
      <c r="M12" s="18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ht="16.5" customHeight="1">
      <c r="A13" s="11">
        <f t="shared" si="1"/>
        <v>11</v>
      </c>
      <c r="B13" s="15">
        <v>45911.0</v>
      </c>
      <c r="C13" s="8" t="s">
        <v>73</v>
      </c>
      <c r="D13" s="22" t="s">
        <v>27</v>
      </c>
      <c r="E13" s="16" t="s">
        <v>21</v>
      </c>
      <c r="F13" s="22" t="s">
        <v>22</v>
      </c>
      <c r="G13" s="22" t="s">
        <v>74</v>
      </c>
      <c r="H13" s="22" t="s">
        <v>30</v>
      </c>
      <c r="I13" s="21">
        <v>91.4</v>
      </c>
      <c r="J13" s="32">
        <v>1.0</v>
      </c>
      <c r="K13" s="3"/>
      <c r="L13" s="22" t="s">
        <v>75</v>
      </c>
      <c r="M13" s="18" t="s">
        <v>76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ht="16.5" customHeight="1">
      <c r="A14" s="11">
        <f t="shared" si="1"/>
        <v>12</v>
      </c>
      <c r="B14" s="15">
        <v>46022.0</v>
      </c>
      <c r="C14" s="8" t="s">
        <v>77</v>
      </c>
      <c r="D14" s="10" t="s">
        <v>27</v>
      </c>
      <c r="E14" s="16" t="s">
        <v>28</v>
      </c>
      <c r="F14" s="10" t="s">
        <v>22</v>
      </c>
      <c r="G14" s="10" t="s">
        <v>22</v>
      </c>
      <c r="H14" s="10" t="s">
        <v>33</v>
      </c>
      <c r="I14" s="21">
        <v>88.8</v>
      </c>
      <c r="J14" s="13">
        <v>1.0</v>
      </c>
      <c r="K14" s="3"/>
      <c r="L14" s="8" t="s">
        <v>78</v>
      </c>
      <c r="M14" s="10" t="s">
        <v>79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ht="16.5" customHeight="1">
      <c r="A15" s="11">
        <f t="shared" si="1"/>
        <v>13</v>
      </c>
      <c r="B15" s="19">
        <v>45931.0</v>
      </c>
      <c r="C15" s="8" t="s">
        <v>80</v>
      </c>
      <c r="D15" s="22" t="s">
        <v>27</v>
      </c>
      <c r="E15" s="16" t="s">
        <v>28</v>
      </c>
      <c r="F15" s="22" t="s">
        <v>22</v>
      </c>
      <c r="G15" s="22" t="s">
        <v>81</v>
      </c>
      <c r="H15" s="22" t="s">
        <v>33</v>
      </c>
      <c r="I15" s="33">
        <v>87.1</v>
      </c>
      <c r="J15" s="13">
        <v>1.0</v>
      </c>
      <c r="K15" s="3" t="s">
        <v>82</v>
      </c>
      <c r="L15" s="8" t="s">
        <v>83</v>
      </c>
      <c r="M15" s="34" t="s">
        <v>84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ht="16.5" customHeight="1">
      <c r="A16" s="11">
        <f t="shared" si="1"/>
        <v>14</v>
      </c>
      <c r="B16" s="6">
        <v>45936.0</v>
      </c>
      <c r="C16" s="25" t="s">
        <v>85</v>
      </c>
      <c r="D16" s="10" t="s">
        <v>27</v>
      </c>
      <c r="E16" s="16" t="s">
        <v>21</v>
      </c>
      <c r="F16" s="10" t="s">
        <v>22</v>
      </c>
      <c r="G16" s="10" t="s">
        <v>86</v>
      </c>
      <c r="H16" s="10" t="s">
        <v>33</v>
      </c>
      <c r="I16" s="21">
        <v>86.2</v>
      </c>
      <c r="J16" s="13">
        <v>1.0</v>
      </c>
      <c r="K16" s="3"/>
      <c r="L16" s="8" t="s">
        <v>87</v>
      </c>
      <c r="M16" s="18" t="s">
        <v>88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1">
        <f t="shared" si="1"/>
        <v>15</v>
      </c>
      <c r="B17" s="15">
        <v>45870.0</v>
      </c>
      <c r="C17" s="8" t="s">
        <v>89</v>
      </c>
      <c r="D17" s="10" t="s">
        <v>5</v>
      </c>
      <c r="E17" s="16" t="s">
        <v>28</v>
      </c>
      <c r="F17" s="10" t="s">
        <v>90</v>
      </c>
      <c r="G17" s="10" t="s">
        <v>89</v>
      </c>
      <c r="H17" s="10" t="s">
        <v>30</v>
      </c>
      <c r="I17" s="21">
        <v>80.2</v>
      </c>
      <c r="J17" s="13">
        <v>1.0</v>
      </c>
      <c r="K17" s="3"/>
      <c r="L17" s="35" t="s">
        <v>91</v>
      </c>
      <c r="M17" s="10" t="s">
        <v>92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ht="14.25" customHeight="1">
      <c r="A18" s="11">
        <f t="shared" si="1"/>
        <v>16</v>
      </c>
      <c r="B18" s="15">
        <v>45909.0</v>
      </c>
      <c r="C18" s="8" t="s">
        <v>93</v>
      </c>
      <c r="D18" s="10" t="s">
        <v>27</v>
      </c>
      <c r="E18" s="16" t="s">
        <v>28</v>
      </c>
      <c r="F18" s="10" t="s">
        <v>22</v>
      </c>
      <c r="G18" s="10" t="s">
        <v>93</v>
      </c>
      <c r="H18" s="10" t="s">
        <v>30</v>
      </c>
      <c r="I18" s="21">
        <v>79.3</v>
      </c>
      <c r="J18" s="13">
        <v>1.0</v>
      </c>
      <c r="K18" s="3"/>
      <c r="L18" s="36" t="s">
        <v>94</v>
      </c>
      <c r="M18" s="37" t="s">
        <v>95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1">
        <f t="shared" si="1"/>
        <v>17</v>
      </c>
      <c r="B19" s="15">
        <v>46006.0</v>
      </c>
      <c r="C19" s="30" t="s">
        <v>96</v>
      </c>
      <c r="D19" s="10" t="s">
        <v>27</v>
      </c>
      <c r="E19" s="16" t="s">
        <v>21</v>
      </c>
      <c r="F19" s="10" t="s">
        <v>22</v>
      </c>
      <c r="G19" s="10" t="s">
        <v>97</v>
      </c>
      <c r="H19" s="10" t="s">
        <v>33</v>
      </c>
      <c r="I19" s="21">
        <v>78.0</v>
      </c>
      <c r="J19" s="13">
        <v>1.0</v>
      </c>
      <c r="K19" s="3"/>
      <c r="L19" s="35" t="s">
        <v>98</v>
      </c>
      <c r="M19" s="38" t="s">
        <v>99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ht="17.25" customHeight="1">
      <c r="A20" s="11">
        <f t="shared" si="1"/>
        <v>18</v>
      </c>
      <c r="B20" s="15">
        <v>45911.0</v>
      </c>
      <c r="C20" s="8" t="s">
        <v>100</v>
      </c>
      <c r="D20" s="10" t="s">
        <v>27</v>
      </c>
      <c r="E20" s="16" t="s">
        <v>28</v>
      </c>
      <c r="F20" s="10" t="s">
        <v>101</v>
      </c>
      <c r="G20" s="10" t="s">
        <v>102</v>
      </c>
      <c r="H20" s="10" t="s">
        <v>33</v>
      </c>
      <c r="I20" s="21">
        <v>76.7</v>
      </c>
      <c r="J20" s="13">
        <v>1.0</v>
      </c>
      <c r="K20" s="3"/>
      <c r="L20" s="25" t="s">
        <v>103</v>
      </c>
      <c r="M20" s="10" t="s">
        <v>104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ht="14.25" customHeight="1">
      <c r="A21" s="11">
        <f t="shared" si="1"/>
        <v>18</v>
      </c>
      <c r="B21" s="19">
        <v>46031.0</v>
      </c>
      <c r="C21" s="39" t="s">
        <v>105</v>
      </c>
      <c r="D21" s="22" t="s">
        <v>5</v>
      </c>
      <c r="E21" s="16" t="s">
        <v>28</v>
      </c>
      <c r="F21" s="22" t="s">
        <v>106</v>
      </c>
      <c r="G21" s="40" t="s">
        <v>107</v>
      </c>
      <c r="H21" s="22" t="s">
        <v>33</v>
      </c>
      <c r="I21" s="33">
        <v>76.7</v>
      </c>
      <c r="J21" s="22"/>
      <c r="K21" s="3"/>
      <c r="L21" s="22"/>
      <c r="M21" s="22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ht="14.25" customHeight="1">
      <c r="A22" s="11">
        <f t="shared" si="1"/>
        <v>20</v>
      </c>
      <c r="B22" s="15">
        <v>45906.0</v>
      </c>
      <c r="C22" s="8" t="s">
        <v>108</v>
      </c>
      <c r="D22" s="10" t="s">
        <v>27</v>
      </c>
      <c r="E22" s="20" t="s">
        <v>21</v>
      </c>
      <c r="F22" s="10" t="s">
        <v>109</v>
      </c>
      <c r="G22" s="26" t="s">
        <v>110</v>
      </c>
      <c r="H22" s="10" t="s">
        <v>33</v>
      </c>
      <c r="I22" s="21">
        <v>75.0</v>
      </c>
      <c r="J22" s="13">
        <v>1.0</v>
      </c>
      <c r="K22" s="3"/>
      <c r="L22" s="36" t="s">
        <v>111</v>
      </c>
      <c r="M22" s="26" t="s">
        <v>112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1">
        <f t="shared" si="1"/>
        <v>21</v>
      </c>
      <c r="B23" s="15">
        <v>45870.0</v>
      </c>
      <c r="C23" s="8" t="s">
        <v>113</v>
      </c>
      <c r="D23" s="10" t="s">
        <v>27</v>
      </c>
      <c r="E23" s="16" t="s">
        <v>28</v>
      </c>
      <c r="F23" s="10" t="s">
        <v>109</v>
      </c>
      <c r="G23" s="10" t="s">
        <v>114</v>
      </c>
      <c r="H23" s="10" t="s">
        <v>33</v>
      </c>
      <c r="I23" s="21">
        <v>73.3</v>
      </c>
      <c r="J23" s="13">
        <v>1.0</v>
      </c>
      <c r="K23" s="3"/>
      <c r="L23" s="18"/>
      <c r="M23" s="27" t="s">
        <v>115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1">
        <f t="shared" si="1"/>
        <v>21</v>
      </c>
      <c r="B24" s="19">
        <v>46031.0</v>
      </c>
      <c r="C24" s="39" t="s">
        <v>105</v>
      </c>
      <c r="D24" s="22" t="s">
        <v>5</v>
      </c>
      <c r="E24" s="16" t="s">
        <v>28</v>
      </c>
      <c r="F24" s="22" t="s">
        <v>109</v>
      </c>
      <c r="G24" s="40" t="s">
        <v>116</v>
      </c>
      <c r="H24" s="22" t="s">
        <v>33</v>
      </c>
      <c r="I24" s="33">
        <v>73.3</v>
      </c>
      <c r="J24" s="22"/>
      <c r="K24" s="3"/>
      <c r="L24" s="2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1">
        <f t="shared" si="1"/>
        <v>23</v>
      </c>
      <c r="B25" s="19">
        <v>46031.0</v>
      </c>
      <c r="C25" s="39" t="s">
        <v>105</v>
      </c>
      <c r="D25" s="22" t="s">
        <v>5</v>
      </c>
      <c r="E25" s="20" t="s">
        <v>21</v>
      </c>
      <c r="F25" s="22" t="s">
        <v>37</v>
      </c>
      <c r="G25" s="41" t="s">
        <v>117</v>
      </c>
      <c r="H25" s="22" t="s">
        <v>33</v>
      </c>
      <c r="I25" s="33">
        <v>70.7</v>
      </c>
      <c r="J25" s="22"/>
      <c r="K25" s="3"/>
      <c r="L25" s="2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1">
        <f t="shared" si="1"/>
        <v>24</v>
      </c>
      <c r="B26" s="15">
        <v>45937.0</v>
      </c>
      <c r="C26" s="8" t="s">
        <v>118</v>
      </c>
      <c r="D26" s="10" t="s">
        <v>5</v>
      </c>
      <c r="E26" s="16" t="s">
        <v>28</v>
      </c>
      <c r="F26" s="10" t="s">
        <v>22</v>
      </c>
      <c r="G26" s="10" t="s">
        <v>118</v>
      </c>
      <c r="H26" s="10" t="s">
        <v>33</v>
      </c>
      <c r="I26" s="21">
        <v>69.7</v>
      </c>
      <c r="J26" s="13">
        <v>1.0</v>
      </c>
      <c r="K26" s="3"/>
      <c r="L26" s="18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1">
        <f t="shared" si="1"/>
        <v>25</v>
      </c>
      <c r="B27" s="19">
        <v>45825.0</v>
      </c>
      <c r="C27" s="8" t="s">
        <v>119</v>
      </c>
      <c r="D27" s="10" t="s">
        <v>27</v>
      </c>
      <c r="E27" s="16" t="s">
        <v>28</v>
      </c>
      <c r="F27" s="22" t="s">
        <v>22</v>
      </c>
      <c r="G27" s="10" t="s">
        <v>119</v>
      </c>
      <c r="H27" s="22" t="s">
        <v>33</v>
      </c>
      <c r="I27" s="21">
        <v>67.24</v>
      </c>
      <c r="J27" s="13">
        <v>1.0</v>
      </c>
      <c r="K27" s="3"/>
      <c r="L27" s="1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1">
        <f t="shared" si="1"/>
        <v>26</v>
      </c>
      <c r="B28" s="15">
        <v>45870.0</v>
      </c>
      <c r="C28" s="8" t="s">
        <v>120</v>
      </c>
      <c r="D28" s="10" t="s">
        <v>5</v>
      </c>
      <c r="E28" s="16" t="s">
        <v>28</v>
      </c>
      <c r="F28" s="10" t="s">
        <v>121</v>
      </c>
      <c r="G28" s="10" t="s">
        <v>120</v>
      </c>
      <c r="H28" s="10" t="s">
        <v>33</v>
      </c>
      <c r="I28" s="21">
        <v>66.4</v>
      </c>
      <c r="J28" s="13">
        <v>1.0</v>
      </c>
      <c r="K28" s="3"/>
      <c r="L28" s="18"/>
      <c r="M28" s="27" t="s">
        <v>115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1">
        <f t="shared" si="1"/>
        <v>27</v>
      </c>
      <c r="B29" s="15">
        <v>45870.0</v>
      </c>
      <c r="C29" s="8" t="s">
        <v>122</v>
      </c>
      <c r="D29" s="22" t="s">
        <v>5</v>
      </c>
      <c r="E29" s="20" t="s">
        <v>21</v>
      </c>
      <c r="F29" s="10" t="s">
        <v>123</v>
      </c>
      <c r="G29" s="10" t="s">
        <v>124</v>
      </c>
      <c r="H29" s="10" t="s">
        <v>33</v>
      </c>
      <c r="I29" s="12">
        <v>65.9</v>
      </c>
      <c r="J29" s="13">
        <v>1.0</v>
      </c>
      <c r="K29" s="3"/>
      <c r="L29" s="8" t="s">
        <v>125</v>
      </c>
      <c r="M29" s="14" t="s">
        <v>126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1">
        <f t="shared" si="1"/>
        <v>28</v>
      </c>
      <c r="B30" s="42">
        <v>45839.0</v>
      </c>
      <c r="C30" s="8" t="s">
        <v>127</v>
      </c>
      <c r="D30" s="22" t="s">
        <v>27</v>
      </c>
      <c r="E30" s="20" t="s">
        <v>21</v>
      </c>
      <c r="F30" s="10" t="s">
        <v>123</v>
      </c>
      <c r="G30" s="10" t="s">
        <v>128</v>
      </c>
      <c r="H30" s="17" t="s">
        <v>33</v>
      </c>
      <c r="I30" s="10">
        <v>62.9</v>
      </c>
      <c r="J30" s="13">
        <v>1.0</v>
      </c>
      <c r="K30" s="3"/>
      <c r="M30" s="3"/>
      <c r="AC30" s="3"/>
      <c r="AD30" s="3"/>
    </row>
    <row r="31">
      <c r="A31" s="11">
        <f t="shared" si="1"/>
        <v>29</v>
      </c>
      <c r="B31" s="42">
        <v>45778.0</v>
      </c>
      <c r="C31" s="8" t="s">
        <v>129</v>
      </c>
      <c r="D31" s="22" t="s">
        <v>5</v>
      </c>
      <c r="E31" s="9" t="s">
        <v>21</v>
      </c>
      <c r="F31" s="10" t="s">
        <v>130</v>
      </c>
      <c r="G31" s="10" t="s">
        <v>129</v>
      </c>
      <c r="H31" s="17" t="s">
        <v>30</v>
      </c>
      <c r="I31" s="10">
        <v>62.1</v>
      </c>
      <c r="J31" s="13">
        <v>1.0</v>
      </c>
      <c r="K31" s="3"/>
      <c r="M31" s="3"/>
      <c r="AC31" s="3"/>
      <c r="AD31" s="3"/>
    </row>
    <row r="32">
      <c r="A32" s="11">
        <f t="shared" si="1"/>
        <v>30</v>
      </c>
      <c r="B32" s="15">
        <v>45825.0</v>
      </c>
      <c r="C32" s="8" t="s">
        <v>131</v>
      </c>
      <c r="D32" s="22" t="s">
        <v>27</v>
      </c>
      <c r="E32" s="43" t="s">
        <v>28</v>
      </c>
      <c r="F32" s="10" t="s">
        <v>22</v>
      </c>
      <c r="G32" s="10" t="s">
        <v>131</v>
      </c>
      <c r="H32" s="17" t="s">
        <v>33</v>
      </c>
      <c r="I32" s="21">
        <v>60.0</v>
      </c>
      <c r="J32" s="13">
        <v>1.0</v>
      </c>
      <c r="K32" s="44"/>
      <c r="L32" s="45"/>
      <c r="M32" s="37"/>
      <c r="AC32" s="3"/>
      <c r="AD32" s="3"/>
    </row>
    <row r="33">
      <c r="A33" s="11">
        <f t="shared" si="1"/>
        <v>31</v>
      </c>
      <c r="B33" s="15">
        <v>45736.0</v>
      </c>
      <c r="C33" s="8" t="s">
        <v>132</v>
      </c>
      <c r="D33" s="22" t="s">
        <v>27</v>
      </c>
      <c r="E33" s="9" t="s">
        <v>21</v>
      </c>
      <c r="F33" s="10" t="s">
        <v>37</v>
      </c>
      <c r="G33" s="10" t="s">
        <v>133</v>
      </c>
      <c r="H33" s="17" t="s">
        <v>44</v>
      </c>
      <c r="I33" s="21">
        <v>59.5</v>
      </c>
      <c r="J33" s="13">
        <v>1.0</v>
      </c>
      <c r="K33" s="44" t="s">
        <v>22</v>
      </c>
      <c r="L33" s="45" t="s">
        <v>22</v>
      </c>
      <c r="M33" s="14" t="s">
        <v>134</v>
      </c>
      <c r="AC33" s="3"/>
      <c r="AD33" s="3"/>
    </row>
    <row r="34">
      <c r="A34" s="11">
        <f t="shared" si="1"/>
        <v>32</v>
      </c>
      <c r="B34" s="15">
        <v>45748.0</v>
      </c>
      <c r="C34" s="8" t="s">
        <v>135</v>
      </c>
      <c r="D34" s="22" t="s">
        <v>27</v>
      </c>
      <c r="E34" s="9" t="s">
        <v>21</v>
      </c>
      <c r="F34" s="10" t="s">
        <v>22</v>
      </c>
      <c r="G34" s="10" t="s">
        <v>135</v>
      </c>
      <c r="H34" s="17" t="s">
        <v>33</v>
      </c>
      <c r="I34" s="21">
        <v>54.3</v>
      </c>
      <c r="J34" s="13">
        <v>1.0</v>
      </c>
      <c r="K34" s="12" t="s">
        <v>22</v>
      </c>
      <c r="L34" s="10"/>
      <c r="M34" s="10"/>
      <c r="AC34" s="3"/>
      <c r="AD34" s="3"/>
    </row>
    <row r="35">
      <c r="A35" s="11">
        <f t="shared" si="1"/>
        <v>33</v>
      </c>
      <c r="B35" s="15">
        <v>45870.0</v>
      </c>
      <c r="C35" s="8" t="s">
        <v>122</v>
      </c>
      <c r="D35" s="22" t="s">
        <v>5</v>
      </c>
      <c r="E35" s="20" t="s">
        <v>21</v>
      </c>
      <c r="F35" s="10" t="s">
        <v>121</v>
      </c>
      <c r="G35" s="10" t="s">
        <v>136</v>
      </c>
      <c r="H35" s="10" t="s">
        <v>33</v>
      </c>
      <c r="I35" s="12">
        <v>49.1</v>
      </c>
      <c r="J35" s="13">
        <v>1.0</v>
      </c>
      <c r="K35" s="3"/>
      <c r="L35" s="8" t="s">
        <v>125</v>
      </c>
      <c r="M35" s="14" t="s">
        <v>137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1">
        <f t="shared" si="1"/>
        <v>33</v>
      </c>
      <c r="B36" s="19">
        <v>46031.0</v>
      </c>
      <c r="C36" s="39" t="s">
        <v>105</v>
      </c>
      <c r="D36" s="22" t="s">
        <v>5</v>
      </c>
      <c r="E36" s="20" t="s">
        <v>21</v>
      </c>
      <c r="F36" s="22" t="s">
        <v>138</v>
      </c>
      <c r="G36" s="41" t="s">
        <v>139</v>
      </c>
      <c r="H36" s="22" t="s">
        <v>33</v>
      </c>
      <c r="I36" s="33">
        <v>49.1</v>
      </c>
      <c r="J36" s="2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C36" s="3"/>
      <c r="AD36" s="3"/>
    </row>
    <row r="37">
      <c r="A37" s="11">
        <f t="shared" si="1"/>
        <v>35</v>
      </c>
      <c r="B37" s="42">
        <v>45778.0</v>
      </c>
      <c r="C37" s="8" t="s">
        <v>140</v>
      </c>
      <c r="D37" s="22" t="s">
        <v>27</v>
      </c>
      <c r="E37" s="9" t="s">
        <v>21</v>
      </c>
      <c r="F37" s="10" t="s">
        <v>22</v>
      </c>
      <c r="G37" s="10" t="s">
        <v>32</v>
      </c>
      <c r="H37" s="17" t="s">
        <v>30</v>
      </c>
      <c r="I37" s="10">
        <v>47.4</v>
      </c>
      <c r="J37" s="13">
        <v>1.0</v>
      </c>
      <c r="K37" s="3"/>
      <c r="L37" s="3"/>
      <c r="M37" s="3"/>
      <c r="AC37" s="3"/>
      <c r="AD37" s="3"/>
    </row>
    <row r="38">
      <c r="A38" s="11">
        <f t="shared" si="1"/>
        <v>36</v>
      </c>
      <c r="B38" s="15">
        <v>45748.0</v>
      </c>
      <c r="C38" s="8" t="s">
        <v>141</v>
      </c>
      <c r="D38" s="22" t="s">
        <v>27</v>
      </c>
      <c r="E38" s="9" t="s">
        <v>21</v>
      </c>
      <c r="F38" s="10" t="s">
        <v>22</v>
      </c>
      <c r="G38" s="10" t="s">
        <v>32</v>
      </c>
      <c r="H38" s="17" t="s">
        <v>44</v>
      </c>
      <c r="I38" s="21">
        <v>46.8</v>
      </c>
      <c r="J38" s="13">
        <v>1.0</v>
      </c>
      <c r="K38" s="12"/>
      <c r="L38" s="10"/>
      <c r="M38" s="10"/>
      <c r="AC38" s="3"/>
      <c r="AD38" s="3"/>
    </row>
    <row r="39">
      <c r="A39" s="11">
        <f t="shared" si="1"/>
        <v>37</v>
      </c>
      <c r="B39" s="15">
        <v>45678.0</v>
      </c>
      <c r="C39" s="8" t="s">
        <v>142</v>
      </c>
      <c r="D39" s="22" t="s">
        <v>5</v>
      </c>
      <c r="E39" s="9" t="s">
        <v>21</v>
      </c>
      <c r="F39" s="10" t="s">
        <v>123</v>
      </c>
      <c r="G39" s="10" t="s">
        <v>142</v>
      </c>
      <c r="H39" s="17" t="s">
        <v>33</v>
      </c>
      <c r="I39" s="21">
        <v>46.6</v>
      </c>
      <c r="J39" s="13">
        <v>1.0</v>
      </c>
      <c r="K39" s="12" t="s">
        <v>22</v>
      </c>
      <c r="L39" s="10"/>
      <c r="M39" s="10"/>
      <c r="AC39" s="3"/>
      <c r="AD39" s="3"/>
    </row>
    <row r="40">
      <c r="A40" s="11">
        <f t="shared" si="1"/>
        <v>38</v>
      </c>
      <c r="B40" s="15">
        <v>45627.0</v>
      </c>
      <c r="C40" s="8" t="s">
        <v>40</v>
      </c>
      <c r="D40" s="22" t="s">
        <v>5</v>
      </c>
      <c r="E40" s="9" t="s">
        <v>21</v>
      </c>
      <c r="F40" s="10" t="s">
        <v>22</v>
      </c>
      <c r="G40" s="10" t="s">
        <v>43</v>
      </c>
      <c r="H40" s="17" t="s">
        <v>33</v>
      </c>
      <c r="I40" s="21">
        <v>44.8</v>
      </c>
      <c r="J40" s="13">
        <v>1.0</v>
      </c>
      <c r="K40" s="12" t="s">
        <v>22</v>
      </c>
      <c r="L40" s="10" t="s">
        <v>22</v>
      </c>
      <c r="M40" s="10"/>
      <c r="AC40" s="3"/>
      <c r="AD40" s="3"/>
    </row>
    <row r="41">
      <c r="A41" s="11">
        <f t="shared" si="1"/>
        <v>39</v>
      </c>
      <c r="B41" s="19">
        <v>45748.0</v>
      </c>
      <c r="C41" s="8" t="s">
        <v>36</v>
      </c>
      <c r="D41" s="22" t="s">
        <v>5</v>
      </c>
      <c r="E41" s="43" t="s">
        <v>28</v>
      </c>
      <c r="F41" s="10" t="s">
        <v>37</v>
      </c>
      <c r="G41" s="10" t="s">
        <v>38</v>
      </c>
      <c r="H41" s="32" t="s">
        <v>44</v>
      </c>
      <c r="I41" s="21">
        <v>44.0</v>
      </c>
      <c r="J41" s="13">
        <v>1.0</v>
      </c>
      <c r="K41" s="22"/>
      <c r="L41" s="22"/>
      <c r="M41" s="22"/>
      <c r="AC41" s="3"/>
      <c r="AD41" s="3"/>
    </row>
    <row r="42">
      <c r="A42" s="11">
        <f t="shared" si="1"/>
        <v>39</v>
      </c>
      <c r="B42" s="15">
        <v>45680.0</v>
      </c>
      <c r="C42" s="8" t="s">
        <v>143</v>
      </c>
      <c r="D42" s="22" t="s">
        <v>5</v>
      </c>
      <c r="E42" s="9" t="s">
        <v>21</v>
      </c>
      <c r="F42" s="10" t="s">
        <v>22</v>
      </c>
      <c r="G42" s="10" t="s">
        <v>144</v>
      </c>
      <c r="H42" s="46" t="s">
        <v>33</v>
      </c>
      <c r="I42" s="21">
        <v>44.0</v>
      </c>
      <c r="J42" s="13">
        <v>1.0</v>
      </c>
      <c r="K42" s="12" t="s">
        <v>22</v>
      </c>
      <c r="L42" s="8" t="s">
        <v>48</v>
      </c>
      <c r="M42" s="8" t="s">
        <v>145</v>
      </c>
      <c r="AC42" s="3"/>
      <c r="AD42" s="3"/>
    </row>
    <row r="43">
      <c r="A43" s="11">
        <f t="shared" si="1"/>
        <v>41</v>
      </c>
      <c r="B43" s="15">
        <v>45820.0</v>
      </c>
      <c r="C43" s="8" t="s">
        <v>26</v>
      </c>
      <c r="D43" s="22" t="s">
        <v>27</v>
      </c>
      <c r="E43" s="9" t="s">
        <v>21</v>
      </c>
      <c r="F43" s="10" t="s">
        <v>22</v>
      </c>
      <c r="G43" s="10" t="s">
        <v>32</v>
      </c>
      <c r="H43" s="17" t="s">
        <v>33</v>
      </c>
      <c r="I43" s="10">
        <v>42.2</v>
      </c>
      <c r="J43" s="13">
        <v>1.0</v>
      </c>
      <c r="K43" s="3"/>
      <c r="L43" s="3"/>
      <c r="M43" s="10" t="s">
        <v>146</v>
      </c>
      <c r="AC43" s="3"/>
      <c r="AD43" s="3"/>
    </row>
    <row r="44">
      <c r="A44" s="11">
        <f t="shared" si="1"/>
        <v>42</v>
      </c>
      <c r="B44" s="15">
        <v>45628.0</v>
      </c>
      <c r="C44" s="8" t="s">
        <v>147</v>
      </c>
      <c r="D44" s="22" t="s">
        <v>27</v>
      </c>
      <c r="E44" s="43" t="s">
        <v>28</v>
      </c>
      <c r="F44" s="10" t="s">
        <v>22</v>
      </c>
      <c r="G44" s="10" t="s">
        <v>32</v>
      </c>
      <c r="H44" s="17" t="s">
        <v>33</v>
      </c>
      <c r="I44" s="21">
        <v>34.5</v>
      </c>
      <c r="J44" s="13">
        <v>1.0</v>
      </c>
      <c r="K44" s="12" t="s">
        <v>22</v>
      </c>
      <c r="L44" s="10" t="s">
        <v>22</v>
      </c>
      <c r="M44" s="10" t="s">
        <v>148</v>
      </c>
      <c r="AC44" s="3"/>
      <c r="AD44" s="3"/>
    </row>
    <row r="45">
      <c r="A45" s="11">
        <f t="shared" si="1"/>
        <v>43</v>
      </c>
      <c r="B45" s="6">
        <v>45413.0</v>
      </c>
      <c r="C45" s="8" t="s">
        <v>17</v>
      </c>
      <c r="D45" s="22" t="s">
        <v>27</v>
      </c>
      <c r="E45" s="9" t="s">
        <v>21</v>
      </c>
      <c r="F45" s="10" t="s">
        <v>22</v>
      </c>
      <c r="G45" s="10" t="s">
        <v>23</v>
      </c>
      <c r="H45" s="13" t="s">
        <v>44</v>
      </c>
      <c r="I45" s="21">
        <v>30.6</v>
      </c>
      <c r="J45" s="13">
        <v>1.0</v>
      </c>
      <c r="K45" s="12" t="s">
        <v>22</v>
      </c>
      <c r="L45" s="10" t="s">
        <v>22</v>
      </c>
      <c r="M45" s="3"/>
      <c r="AC45" s="3"/>
      <c r="AD45" s="3"/>
    </row>
    <row r="46">
      <c r="A46" s="11">
        <f t="shared" si="1"/>
        <v>44</v>
      </c>
      <c r="B46" s="15">
        <v>45813.0</v>
      </c>
      <c r="C46" s="8" t="s">
        <v>149</v>
      </c>
      <c r="D46" s="22" t="s">
        <v>5</v>
      </c>
      <c r="E46" s="9" t="s">
        <v>21</v>
      </c>
      <c r="F46" s="10" t="s">
        <v>121</v>
      </c>
      <c r="G46" s="37" t="s">
        <v>150</v>
      </c>
      <c r="H46" s="17" t="s">
        <v>30</v>
      </c>
      <c r="I46" s="37">
        <v>27.6</v>
      </c>
      <c r="J46" s="13">
        <v>1.0</v>
      </c>
      <c r="K46" s="3"/>
      <c r="L46" s="3"/>
      <c r="M46" s="3"/>
      <c r="AC46" s="3"/>
      <c r="AD46" s="3"/>
    </row>
    <row r="47">
      <c r="A47" s="11">
        <f t="shared" si="1"/>
        <v>44</v>
      </c>
      <c r="B47" s="42">
        <v>45413.0</v>
      </c>
      <c r="C47" s="8" t="s">
        <v>151</v>
      </c>
      <c r="D47" s="22" t="s">
        <v>27</v>
      </c>
      <c r="E47" s="43" t="s">
        <v>28</v>
      </c>
      <c r="F47" s="10" t="s">
        <v>22</v>
      </c>
      <c r="G47" s="10" t="s">
        <v>152</v>
      </c>
      <c r="H47" s="17" t="s">
        <v>33</v>
      </c>
      <c r="I47" s="10">
        <v>27.6</v>
      </c>
      <c r="J47" s="13">
        <v>1.0</v>
      </c>
      <c r="K47" s="3"/>
      <c r="L47" s="3"/>
      <c r="M47" s="3"/>
      <c r="AC47" s="3"/>
      <c r="AD47" s="3"/>
    </row>
    <row r="48">
      <c r="A48" s="11">
        <f t="shared" si="1"/>
        <v>46</v>
      </c>
      <c r="B48" s="15">
        <v>45686.0</v>
      </c>
      <c r="C48" s="8" t="s">
        <v>153</v>
      </c>
      <c r="D48" s="22" t="s">
        <v>5</v>
      </c>
      <c r="E48" s="9" t="s">
        <v>21</v>
      </c>
      <c r="F48" s="10" t="s">
        <v>138</v>
      </c>
      <c r="G48" s="10" t="s">
        <v>154</v>
      </c>
      <c r="H48" s="17" t="s">
        <v>33</v>
      </c>
      <c r="I48" s="21">
        <v>9.0</v>
      </c>
      <c r="J48" s="13">
        <v>1.0</v>
      </c>
      <c r="K48" s="12" t="s">
        <v>22</v>
      </c>
      <c r="L48" s="10" t="s">
        <v>22</v>
      </c>
      <c r="M48" s="10"/>
      <c r="AC48" s="3"/>
      <c r="AD48" s="3"/>
    </row>
    <row r="49">
      <c r="A49" s="11"/>
      <c r="B49" s="15">
        <v>45566.0</v>
      </c>
      <c r="C49" s="8" t="s">
        <v>155</v>
      </c>
      <c r="D49" s="22" t="s">
        <v>27</v>
      </c>
      <c r="E49" s="43" t="s">
        <v>28</v>
      </c>
      <c r="F49" s="10" t="s">
        <v>22</v>
      </c>
      <c r="G49" s="10" t="s">
        <v>32</v>
      </c>
      <c r="H49" s="17" t="s">
        <v>33</v>
      </c>
      <c r="I49" s="21"/>
      <c r="J49" s="13">
        <v>1.0</v>
      </c>
      <c r="K49" s="12" t="s">
        <v>156</v>
      </c>
      <c r="L49" s="10" t="s">
        <v>22</v>
      </c>
      <c r="M49" s="10" t="s">
        <v>157</v>
      </c>
      <c r="AC49" s="3"/>
      <c r="AD49" s="3"/>
    </row>
    <row r="50">
      <c r="A50" s="47"/>
      <c r="B50" s="3"/>
      <c r="C50" s="3"/>
      <c r="D50" s="3"/>
      <c r="E50" s="3"/>
      <c r="F50" s="3"/>
      <c r="G50" s="3"/>
      <c r="H50" s="48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49"/>
      <c r="B51" s="50" t="s">
        <v>158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51"/>
      <c r="B52" s="6">
        <v>45413.0</v>
      </c>
      <c r="C52" s="8" t="s">
        <v>17</v>
      </c>
      <c r="D52" s="10"/>
      <c r="E52" s="10" t="s">
        <v>22</v>
      </c>
      <c r="F52" s="3"/>
      <c r="G52" s="52" t="s">
        <v>159</v>
      </c>
      <c r="H52" s="53"/>
      <c r="I52" s="54">
        <v>80.0</v>
      </c>
      <c r="J52" s="12">
        <v>3.0</v>
      </c>
      <c r="K52" s="22"/>
      <c r="L52" s="22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47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55"/>
      <c r="B54" s="56" t="s">
        <v>160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47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57"/>
      <c r="B56" s="58" t="s">
        <v>161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47"/>
      <c r="B57" s="3" t="s">
        <v>5</v>
      </c>
      <c r="C57" s="3" t="s">
        <v>162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47"/>
      <c r="B58" s="3" t="s">
        <v>27</v>
      </c>
      <c r="C58" s="3" t="s">
        <v>163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47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47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47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47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47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47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47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47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47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47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47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47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47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47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47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47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47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47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47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47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47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47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47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47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47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47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47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47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47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47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47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47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47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47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47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47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47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47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47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47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47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47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47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47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47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47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47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47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47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47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47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47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47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47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47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47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47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47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47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47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47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47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47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47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47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47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47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47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47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47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47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47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47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47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47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47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47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47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47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47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47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47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47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47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47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47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47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47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47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47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47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47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47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47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47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47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47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47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47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47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47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47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47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47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47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47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47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47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47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47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47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47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47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47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47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47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47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47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47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47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47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47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47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47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47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47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47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47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47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47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47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47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47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47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47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47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47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47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47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47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47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47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47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47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47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47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47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47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47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47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47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47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47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47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47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47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47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47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47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47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47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47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47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47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47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47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47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47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47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47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47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47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47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47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47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47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47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47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47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47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47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47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47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47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47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47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47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47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47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47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47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47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47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47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47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47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47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47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47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47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47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47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47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47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47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47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47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47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47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47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47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47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47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47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47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47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47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47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47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47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47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47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47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47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47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47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47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47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47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47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47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47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47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47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47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47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47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47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47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47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47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47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47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47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47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47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47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47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47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47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47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47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47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47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47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47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47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47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47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47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47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47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47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47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47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47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47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47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47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47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47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47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47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47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47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47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47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47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47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47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47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47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47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47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47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47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47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47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47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47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47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47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47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47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47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47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47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47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47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47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47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47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47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47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47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47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47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47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47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47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47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47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47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47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47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47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47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47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47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47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47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47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47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47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47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47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47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47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47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47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47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47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47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47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47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47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47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47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47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47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47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47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47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47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47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47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47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47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47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47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47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47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47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47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47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47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47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47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47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47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47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47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47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47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47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47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47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47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47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47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47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47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47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47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47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47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47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47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47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47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47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47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47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47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47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47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47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47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47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47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47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47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47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47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47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47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47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47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47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47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47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47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47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47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47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47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47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47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47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47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47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47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47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47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47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47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47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47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47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47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47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47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47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47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47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47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47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47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47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47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47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47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47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47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47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47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47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47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47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47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47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47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47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47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47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47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47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47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47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47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47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47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47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47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47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47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47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47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47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47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47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47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47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47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47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47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47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47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47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47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47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47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47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47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47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47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47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47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47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47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47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47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47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47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47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47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47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47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47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47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47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47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47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47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47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47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47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47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47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47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47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47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47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47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47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47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47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47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47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47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47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47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47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47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47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47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47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47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47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47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47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47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47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47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47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47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47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47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47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47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47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47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47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47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47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47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47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47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47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47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47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47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47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47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47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47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47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47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47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47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47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47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47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47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47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47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47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47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47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47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47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47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47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47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47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47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47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47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47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47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47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47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47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47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47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47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47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47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47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47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47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47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47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47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47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47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47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47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47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47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47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47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47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47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47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47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47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47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47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47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47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47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47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47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47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47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47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47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47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47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47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47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47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47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47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47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47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47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47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47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47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47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47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47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47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47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47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47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47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47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47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47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47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47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47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47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47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47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47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47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47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47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47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47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47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47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47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47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47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47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47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47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47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47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47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47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47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47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47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47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47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47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47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47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47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47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47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47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47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47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47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47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47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47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47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47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47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47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47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47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47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47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47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47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47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47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47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47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47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47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47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47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47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47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47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47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47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47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47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47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47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47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47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47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47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47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47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47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47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47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47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47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47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47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47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47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47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47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47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47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47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47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47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47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47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47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47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47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47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47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47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47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47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47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47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47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47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47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47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47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47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47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47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47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47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47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47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47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47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47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47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47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47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47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47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47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47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47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47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47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47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47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47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47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47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47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47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47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47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47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47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47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47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47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47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47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47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47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47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47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47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47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47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47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47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47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47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47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47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47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47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47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47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47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47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47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47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47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47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47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47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47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47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47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47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47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47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47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47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47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47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47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47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47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47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47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47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47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47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47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47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47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47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47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47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47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47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47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47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47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47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47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47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47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47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47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47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47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47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47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47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47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47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47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47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47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47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47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47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47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47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47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47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47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47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47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47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47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47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47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47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47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47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47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47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47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47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47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47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47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47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47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47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47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47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47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47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47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47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47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47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47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47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47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47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47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47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47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47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47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47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47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47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47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47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47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47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47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47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47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47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47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47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47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47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47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47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47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47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47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47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47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47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47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47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47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47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47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47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47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47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47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47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47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47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47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47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47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47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47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47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47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47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47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47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47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47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47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47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47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47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47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47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47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47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47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47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47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47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47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47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47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47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47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47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47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47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47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47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47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47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47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47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47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47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47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47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47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47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47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47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47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47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47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47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47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47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47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47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47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47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47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47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</sheetData>
  <customSheetViews>
    <customSheetView guid="{9FD80F78-264C-4B18-B08B-56B1A56DA732}" filter="1" showAutoFilter="1">
      <autoFilter ref="$B$2:$AD$49"/>
    </customSheetView>
  </customSheetViews>
  <mergeCells count="4">
    <mergeCell ref="A1:AD1"/>
    <mergeCell ref="B51:M51"/>
    <mergeCell ref="B54:M54"/>
    <mergeCell ref="B56:N56"/>
  </mergeCells>
  <conditionalFormatting sqref="D2:E50 C48:C50 D52:E53 C53 C55:E55 C57:E1041">
    <cfRule type="containsText" dxfId="0" priority="1" operator="containsText" text="✔">
      <formula>NOT(ISERROR(SEARCH(("✔"),(D2))))</formula>
    </cfRule>
  </conditionalFormatting>
  <dataValidations>
    <dataValidation type="list" allowBlank="1" showErrorMessage="1" sqref="H3:H49">
      <formula1>"A11y tree,Screenshot,Screenshot + A11y tree"</formula1>
    </dataValidation>
    <dataValidation type="list" allowBlank="1" showErrorMessage="1" sqref="D3:D49 A57:B58">
      <formula1>"Model,AI agent"</formula1>
    </dataValidation>
  </dataValidations>
  <hyperlinks>
    <hyperlink r:id="rId1" ref="C3"/>
    <hyperlink r:id="rId2" ref="L3"/>
    <hyperlink r:id="rId3" ref="C4"/>
    <hyperlink r:id="rId4" ref="L4"/>
    <hyperlink r:id="rId5" ref="C5"/>
    <hyperlink r:id="rId6" ref="L5"/>
    <hyperlink r:id="rId7" ref="M5"/>
    <hyperlink r:id="rId8" ref="C6"/>
    <hyperlink r:id="rId9" ref="L6"/>
    <hyperlink r:id="rId10" ref="M6"/>
    <hyperlink r:id="rId11" ref="C7"/>
    <hyperlink r:id="rId12" ref="M7"/>
    <hyperlink r:id="rId13" ref="C8"/>
    <hyperlink r:id="rId14" ref="C9"/>
    <hyperlink r:id="rId15" ref="L9"/>
    <hyperlink r:id="rId16" ref="M9"/>
    <hyperlink r:id="rId17" ref="C10"/>
    <hyperlink r:id="rId18" ref="C11"/>
    <hyperlink r:id="rId19" ref="L11"/>
    <hyperlink r:id="rId20" ref="M11"/>
    <hyperlink r:id="rId21" ref="C12"/>
    <hyperlink r:id="rId22" ref="L12"/>
    <hyperlink r:id="rId23" ref="C13"/>
    <hyperlink r:id="rId24" ref="C14"/>
    <hyperlink r:id="rId25" ref="L14"/>
    <hyperlink r:id="rId26" ref="C15"/>
    <hyperlink r:id="rId27" ref="L15"/>
    <hyperlink r:id="rId28" ref="M15"/>
    <hyperlink r:id="rId29" ref="C16"/>
    <hyperlink r:id="rId30" ref="L16"/>
    <hyperlink r:id="rId31" ref="C17"/>
    <hyperlink r:id="rId32" ref="L17"/>
    <hyperlink r:id="rId33" ref="C18"/>
    <hyperlink r:id="rId34" ref="L18"/>
    <hyperlink r:id="rId35" ref="C19"/>
    <hyperlink r:id="rId36" ref="L19"/>
    <hyperlink r:id="rId37" ref="M19"/>
    <hyperlink r:id="rId38" ref="C20"/>
    <hyperlink r:id="rId39" ref="L20"/>
    <hyperlink r:id="rId40" ref="C21"/>
    <hyperlink r:id="rId41" ref="C22"/>
    <hyperlink r:id="rId42" ref="L22"/>
    <hyperlink r:id="rId43" ref="C23"/>
    <hyperlink r:id="rId44" ref="M23"/>
    <hyperlink r:id="rId45" ref="C24"/>
    <hyperlink r:id="rId46" ref="C25"/>
    <hyperlink r:id="rId47" ref="C26"/>
    <hyperlink r:id="rId48" ref="C27"/>
    <hyperlink r:id="rId49" ref="C28"/>
    <hyperlink r:id="rId50" ref="M28"/>
    <hyperlink r:id="rId51" ref="C29"/>
    <hyperlink r:id="rId52" ref="L29"/>
    <hyperlink r:id="rId53" ref="M29"/>
    <hyperlink r:id="rId54" ref="C30"/>
    <hyperlink r:id="rId55" ref="C31"/>
    <hyperlink r:id="rId56" ref="C32"/>
    <hyperlink r:id="rId57" ref="C33"/>
    <hyperlink r:id="rId58" ref="M33"/>
    <hyperlink r:id="rId59" ref="C34"/>
    <hyperlink r:id="rId60" ref="C35"/>
    <hyperlink r:id="rId61" ref="L35"/>
    <hyperlink r:id="rId62" ref="M35"/>
    <hyperlink r:id="rId63" ref="C36"/>
    <hyperlink r:id="rId64" ref="C37"/>
    <hyperlink r:id="rId65" ref="C38"/>
    <hyperlink r:id="rId66" ref="C39"/>
    <hyperlink r:id="rId67" ref="C40"/>
    <hyperlink r:id="rId68" ref="C41"/>
    <hyperlink r:id="rId69" ref="C42"/>
    <hyperlink r:id="rId70" ref="L42"/>
    <hyperlink r:id="rId71" ref="M42"/>
    <hyperlink r:id="rId72" ref="C43"/>
    <hyperlink r:id="rId73" ref="C44"/>
    <hyperlink r:id="rId74" ref="C45"/>
    <hyperlink r:id="rId75" ref="C46"/>
    <hyperlink r:id="rId76" ref="C47"/>
    <hyperlink r:id="rId77" ref="C48"/>
    <hyperlink r:id="rId78" ref="C49"/>
    <hyperlink r:id="rId79" ref="C52"/>
  </hyperlinks>
  <drawing r:id="rId8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25"/>
    <col customWidth="1" min="3" max="3" width="6.38"/>
    <col customWidth="1" min="4" max="4" width="16.13"/>
    <col customWidth="1" min="5" max="5" width="14.38"/>
    <col customWidth="1" min="6" max="6" width="19.25"/>
    <col customWidth="1" min="7" max="7" width="19.88"/>
    <col customWidth="1" min="8" max="8" width="13.88"/>
    <col customWidth="1" min="9" max="9" width="19.88"/>
    <col customWidth="1" min="10" max="10" width="28.13"/>
    <col customWidth="1" min="11" max="11" width="30.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6">
        <v>45413.0</v>
      </c>
      <c r="B2" s="8" t="s">
        <v>17</v>
      </c>
      <c r="C2" s="9" t="s">
        <v>21</v>
      </c>
      <c r="D2" s="10" t="s">
        <v>22</v>
      </c>
      <c r="E2" s="10" t="s">
        <v>23</v>
      </c>
      <c r="F2" s="12" t="s">
        <v>25</v>
      </c>
      <c r="G2" s="12">
        <v>67.6</v>
      </c>
      <c r="H2" s="13">
        <v>1.0</v>
      </c>
      <c r="I2" s="12" t="s">
        <v>22</v>
      </c>
      <c r="J2" s="10" t="s">
        <v>22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5">
        <v>45820.0</v>
      </c>
      <c r="B3" s="8" t="s">
        <v>26</v>
      </c>
      <c r="C3" s="9" t="s">
        <v>21</v>
      </c>
      <c r="D3" s="10" t="s">
        <v>22</v>
      </c>
      <c r="E3" s="10" t="s">
        <v>32</v>
      </c>
      <c r="F3" s="17" t="s">
        <v>33</v>
      </c>
      <c r="G3" s="10">
        <v>62.0</v>
      </c>
      <c r="H3" s="13">
        <v>1.0</v>
      </c>
      <c r="I3" s="3"/>
      <c r="J3" s="3"/>
      <c r="K3" s="10" t="s">
        <v>35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19">
        <v>45748.0</v>
      </c>
      <c r="B4" s="18" t="s">
        <v>36</v>
      </c>
      <c r="C4" s="20" t="s">
        <v>21</v>
      </c>
      <c r="D4" s="10" t="s">
        <v>37</v>
      </c>
      <c r="E4" s="10" t="s">
        <v>38</v>
      </c>
      <c r="F4" s="12" t="s">
        <v>33</v>
      </c>
      <c r="G4" s="21">
        <v>61.0</v>
      </c>
      <c r="H4" s="13">
        <v>1.0</v>
      </c>
      <c r="I4" s="22"/>
      <c r="J4" s="22"/>
      <c r="K4" s="2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15">
        <v>45646.0</v>
      </c>
      <c r="B5" s="8" t="s">
        <v>40</v>
      </c>
      <c r="C5" s="9" t="s">
        <v>21</v>
      </c>
      <c r="D5" s="10" t="s">
        <v>42</v>
      </c>
      <c r="E5" s="10" t="s">
        <v>43</v>
      </c>
      <c r="F5" s="24" t="s">
        <v>44</v>
      </c>
      <c r="G5" s="12">
        <v>60.4</v>
      </c>
      <c r="H5" s="13">
        <v>1.0</v>
      </c>
      <c r="I5" s="12" t="s">
        <v>22</v>
      </c>
      <c r="J5" s="10"/>
      <c r="K5" s="10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</sheetData>
  <conditionalFormatting sqref="C2:C6 B3 B6">
    <cfRule type="containsText" dxfId="0" priority="1" operator="containsText" text="✔">
      <formula>NOT(ISERROR(SEARCH(("✔"),(C2))))</formula>
    </cfRule>
  </conditionalFormatting>
  <dataValidations>
    <dataValidation type="list" allowBlank="1" showErrorMessage="1" sqref="F2 F4:F5">
      <formula1>"A11y tree,Screenshot,Set-of-Mark"</formula1>
    </dataValidation>
    <dataValidation type="list" allowBlank="1" showErrorMessage="1" sqref="F3">
      <formula1>"A11y tree,Screenshot,Screenshot + A11y tree"</formula1>
    </dataValidation>
  </dataValidations>
  <hyperlinks>
    <hyperlink r:id="rId1" ref="B2"/>
    <hyperlink r:id="rId2" ref="B3"/>
    <hyperlink r:id="rId3" ref="B5"/>
  </hyperlinks>
  <drawing r:id="rId4"/>
</worksheet>
</file>